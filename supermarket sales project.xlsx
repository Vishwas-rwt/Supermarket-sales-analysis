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Mart - Raw Data" sheetId="1" r:id="rId5"/>
    <sheet state="visible" name="Pivot Table 16" sheetId="2" r:id="rId6"/>
    <sheet state="visible" name="Pivot Table 15" sheetId="3" r:id="rId7"/>
    <sheet state="visible" name="Project Explanations" sheetId="4" r:id="rId8"/>
    <sheet state="visible" name="Sheet 1" sheetId="5" r:id="rId9"/>
    <sheet state="visible" name="Pivot Table 13" sheetId="6" r:id="rId10"/>
    <sheet state="visible" name="Sheet11" sheetId="7" r:id="rId11"/>
    <sheet state="visible" name="Copy of SuperMart - Raw Data" sheetId="8" r:id="rId12"/>
    <sheet state="visible" name="Pivot Table 12" sheetId="9" r:id="rId13"/>
    <sheet state="visible" name="Projects To Do" sheetId="10" r:id="rId14"/>
    <sheet state="visible" name="Pivot Table 11" sheetId="11" r:id="rId15"/>
    <sheet state="visible" name="Pivot Table 10" sheetId="12" r:id="rId16"/>
    <sheet state="visible" name="Sheet9" sheetId="13" r:id="rId17"/>
    <sheet state="visible" name="Sheet10" sheetId="14" r:id="rId18"/>
  </sheets>
  <definedNames>
    <definedName hidden="1" localSheetId="0" name="_xlnm._FilterDatabase">'SuperMart - Raw Data'!$A$1:$V$421</definedName>
  </definedNames>
  <calcPr/>
  <pivotCaches>
    <pivotCache cacheId="0" r:id="rId19"/>
    <pivotCache cacheId="1" r:id="rId20"/>
    <pivotCache cacheId="2" r:id="rId21"/>
    <pivotCache cacheId="3" r:id="rId22"/>
  </pivotCaches>
</workbook>
</file>

<file path=xl/sharedStrings.xml><?xml version="1.0" encoding="utf-8"?>
<sst xmlns="http://schemas.openxmlformats.org/spreadsheetml/2006/main" count="9267" uniqueCount="262">
  <si>
    <t>orderId</t>
  </si>
  <si>
    <t>Tasks 1 — Solve Using Pivot Table</t>
  </si>
  <si>
    <t>Order Date</t>
  </si>
  <si>
    <t>City</t>
  </si>
  <si>
    <t>1. Region-wise aur Category-wise Net Sales ka pivot table banao (Rows = Region, Columns = Category, Values = Sum of Net Sales).</t>
  </si>
  <si>
    <t>Region</t>
  </si>
  <si>
    <t>Category</t>
  </si>
  <si>
    <t>Product</t>
  </si>
  <si>
    <t>Qty Sold</t>
  </si>
  <si>
    <t>Unit Price (Rs)</t>
  </si>
  <si>
    <t>Gross Amount (Rs)</t>
  </si>
  <si>
    <t>Discount %</t>
  </si>
  <si>
    <t>Discount Amount (Rs)</t>
  </si>
  <si>
    <t>2. Order Date se Month nikaal ke, month-wise total Net Sales ka trend pivot table mein dikhao aur ek Line Pivot Chart banao.</t>
  </si>
  <si>
    <t>Net Sales (Rs)</t>
  </si>
  <si>
    <t>Sales Rep</t>
  </si>
  <si>
    <t>Payment Mode</t>
  </si>
  <si>
    <t>3. Har City ke liye total Discount Amount aur Net Sales dono ek pivot table mein dikhao — pata karo kis city mein sabse zyada discount diya gaya.</t>
  </si>
  <si>
    <t>Customer Type</t>
  </si>
  <si>
    <t>4. Customer Type (Retail/Wholesale/Online) ke hisaab se average Order Value (Average of Net Sales) nikaalo.</t>
  </si>
  <si>
    <t xml:space="preserve"> </t>
  </si>
  <si>
    <t>5. Top 5 Products ko unke total Net Sales ke hisaab se rank karo (Value Filters ya Sort Largest to Smallest use karo).</t>
  </si>
  <si>
    <t>Deliverable</t>
  </si>
  <si>
    <t>Naya sheet 'Sales Report' banao jisme saare pivot tables aur chart ho, currency format Rs #,##0 mein, aur upar 2-line summary likho jo sabse important insight bataye.</t>
  </si>
  <si>
    <t>Patna</t>
  </si>
  <si>
    <t>North</t>
  </si>
  <si>
    <t>Groceries</t>
  </si>
  <si>
    <t>Storage Container Set</t>
  </si>
  <si>
    <t>Tasks 2— Solve Using Pivot Table</t>
  </si>
  <si>
    <t>1. Payment Mode ke hisaab se total number of orders (Count) aur total Net Sales (Sum) ka pivot table banao.</t>
  </si>
  <si>
    <t>2. Payment Mode-wise total Gross Amount aur total Discount Amount dono dikhao — pata karo kaunse payment mode mein sabse zyada discount diya gaya.</t>
  </si>
  <si>
    <t>3. Region-wise total Gross Amount vs total Net Sales ka pivot table banao, aur ek Calculated Field add karo jo Discount % dikhaye: (Gross Amount - Net Sales) / Gross Amount.</t>
  </si>
  <si>
    <t>4. Month-wise total Discount Amount ka trend nikaalo — pata karo kis mahine sabse zyada discount diya gaya (jaise koi sale season).</t>
  </si>
  <si>
    <t>5. Payment Mode aur Customer Type dono ka cross-tab pivot table banao (Rows = Payment Mode, Columns = Customer Type, Values = Sum of Net Sales).</t>
  </si>
  <si>
    <t>Naya sheet 'Finance Recon' banao jisme saare pivot tables ho. End mein ek note likho ki total discount leakage (Rs mein) kitna hua poore saal mein.</t>
  </si>
  <si>
    <t>Tasks 3 — Solve Using Pivot Table</t>
  </si>
  <si>
    <t>1. Sales Rep-wise total Net Sales aur total number of orders (Count) ka pivot table banao — sort karke Top 3 aur Bottom 3 reps identify karo.</t>
  </si>
  <si>
    <t>2. Sales Rep aur Category ka cross-tab pivot table banao (Rows = Sales Rep, Columns = Category, Values = Sum of Net Sales) taaki har rep ki strong category pata chale.</t>
  </si>
  <si>
    <t>3. Har Sales Rep ka Average Order Value (Average of Net Sales) nikaalo aur compare karo.</t>
  </si>
  <si>
    <t>4. Sales Rep-wise Region coverage dikhao — Rows = Sales Rep, Values = Count of Distinct Region (ya Count of City) — pata karo kaun sabse zyada cities cover kar raha hai.</t>
  </si>
  <si>
    <t>5. Ek Pivot Chart (Bar Chart) banao jo Top 5 reps ko unke total Net Sales ke hisaab se rank karke dikhaye.</t>
  </si>
  <si>
    <t>Naya sheet 'Rep Performance' banao jisme pivot tables aur chart ho. End mein apni recommendation likho ki kaunse 2 reps ko is quarter incentive milna chahiye, data se justify karke.</t>
  </si>
  <si>
    <t>Ananya Iyer</t>
  </si>
  <si>
    <t>Cash</t>
  </si>
  <si>
    <t>Wholesale</t>
  </si>
  <si>
    <t>Kochi</t>
  </si>
  <si>
    <t>South</t>
  </si>
  <si>
    <t>Home &amp; Kitchen</t>
  </si>
  <si>
    <t>Denim Jeans</t>
  </si>
  <si>
    <t>Pooja Reddy</t>
  </si>
  <si>
    <t>Credit Card</t>
  </si>
  <si>
    <t>Kolkata</t>
  </si>
  <si>
    <t>East</t>
  </si>
  <si>
    <t>Apparel</t>
  </si>
  <si>
    <t>Formal Shirt</t>
  </si>
  <si>
    <t>Kavita Nair</t>
  </si>
  <si>
    <t>Net Banking</t>
  </si>
  <si>
    <t>Online</t>
  </si>
  <si>
    <t>Chandigarh</t>
  </si>
  <si>
    <t>Personal Care</t>
  </si>
  <si>
    <t>Face Wash</t>
  </si>
  <si>
    <t>Vikram Malhotra</t>
  </si>
  <si>
    <t>UPI</t>
  </si>
  <si>
    <t>Surat</t>
  </si>
  <si>
    <t>West</t>
  </si>
  <si>
    <t>Steel Dinner Set</t>
  </si>
  <si>
    <t>Bengaluru</t>
  </si>
  <si>
    <t>Water Bottle 1L</t>
  </si>
  <si>
    <t>Amit Singh</t>
  </si>
  <si>
    <t>Retail</t>
  </si>
  <si>
    <t>Sugar 1kg</t>
  </si>
  <si>
    <t>Priya Verma</t>
  </si>
  <si>
    <t>Debit Card</t>
  </si>
  <si>
    <t>Bhubaneswar</t>
  </si>
  <si>
    <t>Mustard Oil 1L</t>
  </si>
  <si>
    <t>Women Saree</t>
  </si>
  <si>
    <t>Mumbai</t>
  </si>
  <si>
    <t>Electronics</t>
  </si>
  <si>
    <t>Mixer Grinder</t>
  </si>
  <si>
    <t>Shampoo 200ml</t>
  </si>
  <si>
    <t>Pune</t>
  </si>
  <si>
    <t>Rohit Sharma</t>
  </si>
  <si>
    <t>Guwahati</t>
  </si>
  <si>
    <t>Soap Pack of 4</t>
  </si>
  <si>
    <t>Hyderabad</t>
  </si>
  <si>
    <t>Toothpaste 200g</t>
  </si>
  <si>
    <t>Hair Oil 200ml</t>
  </si>
  <si>
    <t>Deepak Yadav</t>
  </si>
  <si>
    <t>Bluetooth Speaker</t>
  </si>
  <si>
    <t>Chennai</t>
  </si>
  <si>
    <t>LED TV 32in</t>
  </si>
  <si>
    <t>Non-stick Tawa</t>
  </si>
  <si>
    <t>Lucknow</t>
  </si>
  <si>
    <t>Gurugram</t>
  </si>
  <si>
    <t>Tea Powder 500g</t>
  </si>
  <si>
    <t>Kids T-Shirt</t>
  </si>
  <si>
    <t>Sanjay Rao</t>
  </si>
  <si>
    <t>Delhi</t>
  </si>
  <si>
    <t>Cotton Dupatta</t>
  </si>
  <si>
    <t>Ahmedabad</t>
  </si>
  <si>
    <t>Toor Dal 1kg</t>
  </si>
  <si>
    <t>Ceiling Fan</t>
  </si>
  <si>
    <t>Men Kurta</t>
  </si>
  <si>
    <t>Bedsheet Set</t>
  </si>
  <si>
    <t>Basmati Rice 5kg</t>
  </si>
  <si>
    <t>Iron Box</t>
  </si>
  <si>
    <t>Neha Gupta</t>
  </si>
  <si>
    <t>Columns</t>
  </si>
  <si>
    <t>Rows</t>
  </si>
  <si>
    <t>Values</t>
  </si>
  <si>
    <t>Pressure Cooker</t>
  </si>
  <si>
    <t>Atta 10kg</t>
  </si>
  <si>
    <t>Months</t>
  </si>
  <si>
    <t>SUM of Net Sales (Rs)</t>
  </si>
  <si>
    <t>Grand Total</t>
  </si>
  <si>
    <t xml:space="preserve">resion </t>
  </si>
  <si>
    <t>East Total</t>
  </si>
  <si>
    <t>North Total</t>
  </si>
  <si>
    <t>South Total</t>
  </si>
  <si>
    <t>West Total</t>
  </si>
  <si>
    <t>Project 1: Regional Sales Performance Report</t>
  </si>
  <si>
    <t>Requested by: Regional Sales Head</t>
  </si>
  <si>
    <t>The Brief</t>
  </si>
  <si>
    <t>The Regional Sales Head wants a report for the monthly review meeting. They want to know which region and category is generating the most Net Sales, how sales trend month-over-month, and how much impact giving discounts has on net sales.</t>
  </si>
  <si>
    <t>Project 2: Payment Mode &amp; Revenue Reconciliation</t>
  </si>
  <si>
    <t>Requested by: Finance Team</t>
  </si>
  <si>
    <t>The Finance team reconciles gross-vs-net revenue monthly and wants to know payment-mode-wise transaction volume to estimate payment gateway charges. They need a breakup of how much revenue is coming from each payment mode and how much leakage discounts represent on total revenue.</t>
  </si>
  <si>
    <t>Project 3: Sales Rep Performance &amp; Incentive Review</t>
  </si>
  <si>
    <t>Requested by: Sales Manager</t>
  </si>
  <si>
    <t>The Sales Manager is reviewing each Sales Rep's performance to decide the quarterly incentive. They want to know which rep generated the most Net Sales, which category each rep is strong in, and how consistent they are (how many orders they closed).</t>
  </si>
  <si>
    <t>Task 1 — Solve Using Pivot Table</t>
  </si>
  <si>
    <t>Create a Pivot Table for Region-wise and Category-wise Net Sales (Rows = Region, Columns = Category, Values = Sum of Net Sales).</t>
  </si>
  <si>
    <t>Extract the Month from the Order Date, show the month-wise total Net Sales trend in a Pivot Table, and create a Line Pivot Chart.</t>
  </si>
  <si>
    <t>Show both total Discount Amount and Net Sales for each City in a Pivot Table — find out which city received the highest discount.</t>
  </si>
  <si>
    <t>Calculate the average Order Value (Average of Net Sales) based on Customer Type (Retail/Wholesale/Online).</t>
  </si>
  <si>
    <t>Rank the Top 5 Products according to their total Net Sales (use Value Filters or Sort Largest to Smallest).</t>
  </si>
  <si>
    <t>Deliverable: Create a new sheet named 'Sales Report' containing all the pivot tables and charts. Apply the currency format Rs #,##0, and include a 2-line summary at the top highlighting the most important insights.</t>
  </si>
  <si>
    <t>Task 2 — Solve Using Pivot Table</t>
  </si>
  <si>
    <t>Create a Pivot Table showing the total number of orders (Count) and total Net Sales (Sum) by Payment Mode.</t>
  </si>
  <si>
    <t>Display both total Gross Amount and total Discount Amount by Payment Mode — find out which payment mode offered the highest discount.</t>
  </si>
  <si>
    <t>Create a Pivot Table for Region-wise total Gross Amount vs. total Net Sales, and add a Calculated Field to calculate the Discount %: (Gross Amount - Net Sales) / Gross Amount.</t>
  </si>
  <si>
    <t>Analyze the month-wise trend for total Discount Amount — identify which month had the highest discount (e.g., peak sale season).</t>
  </si>
  <si>
    <t>Create a cross-tab Pivot Table for Payment Mode and Customer Type (Rows = Payment Mode, Columns = Customer Type, Values = Sum of Net Sales).</t>
  </si>
  <si>
    <t>Deliverable: Create a new sheet named 'Finance Recon' containing all the pivot tables. Add a note at the end specifying the total discount leakage (in Rs) across the entire year.</t>
  </si>
  <si>
    <t>Task 3 — Solve Using Pivot Table</t>
  </si>
  <si>
    <t>Create a Pivot Table showing total Net Sales and total number of orders (Count) by Sales Rep — sort the data to identify the Top 3 and Bottom 3 sales representatives.</t>
  </si>
  <si>
    <t>Create a cross-tab Pivot Table for Sales Rep and Category (Rows = Sales Rep, Columns = Category, Values = Sum of Net Sales) to identify each representative's strongest category.</t>
  </si>
  <si>
    <t>Calculate and compare the Average Order Value (Average of Net Sales) for each Sales Rep.</t>
  </si>
  <si>
    <t>Show Region coverage by Sales Rep — Rows = Sales Rep, Values = Distinct Count of Region (or Count of City) — find out who is covering the highest number of cities.</t>
  </si>
  <si>
    <t>Create a Pivot Chart (Bar Chart) that ranks and displays the Top 5 reps based on their total Net Sales.</t>
  </si>
  <si>
    <t>Deliverable: Create a new sheet named 'Rep Performance' containing all pivot tables and charts. Include a recommendation at the end justifying, with data, which 2 sales representatives should receive an incentive this quarter.</t>
  </si>
  <si>
    <t>Employee Name</t>
  </si>
  <si>
    <t>Department</t>
  </si>
  <si>
    <t>Name</t>
  </si>
  <si>
    <t>ID</t>
  </si>
  <si>
    <t>Representative</t>
  </si>
  <si>
    <t>Q1 Revenue ($)</t>
  </si>
  <si>
    <t>Neha Sharma</t>
  </si>
  <si>
    <t>Marketing</t>
  </si>
  <si>
    <t>Sarah Connor</t>
  </si>
  <si>
    <t>Riya Singh</t>
  </si>
  <si>
    <t>Alex Mercer</t>
  </si>
  <si>
    <t>Varun Gupta</t>
  </si>
  <si>
    <t>IT</t>
  </si>
  <si>
    <t>Elena Fisher</t>
  </si>
  <si>
    <t>Priya Singh</t>
  </si>
  <si>
    <t>Meera Verma</t>
  </si>
  <si>
    <t>Operations</t>
  </si>
  <si>
    <t>Vikas Agarwal</t>
  </si>
  <si>
    <t>Q2 Revenue ($)</t>
  </si>
  <si>
    <t>Nisha Singh</t>
  </si>
  <si>
    <t>HR</t>
  </si>
  <si>
    <t>Marcus Holloway</t>
  </si>
  <si>
    <t>Aditya Jain</t>
  </si>
  <si>
    <t>Chloe Frazer</t>
  </si>
  <si>
    <t>Aditya Gupta</t>
  </si>
  <si>
    <t>Leon Kennedy</t>
  </si>
  <si>
    <t>Pooja Agarwal</t>
  </si>
  <si>
    <t>Sales</t>
  </si>
  <si>
    <t>Anjali Kumar</t>
  </si>
  <si>
    <t>Amit Sharma</t>
  </si>
  <si>
    <t>Vikas Gupta</t>
  </si>
  <si>
    <t>Vikas Mishra</t>
  </si>
  <si>
    <t>Finance</t>
  </si>
  <si>
    <t>Simran Patel</t>
  </si>
  <si>
    <t>Vikas Sharma</t>
  </si>
  <si>
    <t>Pooja Kumar</t>
  </si>
  <si>
    <t>Manish Yadav</t>
  </si>
  <si>
    <t>Sneha Patel</t>
  </si>
  <si>
    <t>Anjali Agarwal</t>
  </si>
  <si>
    <t>Rohit Jain</t>
  </si>
  <si>
    <t>Anjali Yadav</t>
  </si>
  <si>
    <t>Arjun Kumar</t>
  </si>
  <si>
    <t>Rahul Singh</t>
  </si>
  <si>
    <t>Priya Gupta</t>
  </si>
  <si>
    <t>Rahul Mishra</t>
  </si>
  <si>
    <t>Riya Verma</t>
  </si>
  <si>
    <t>Manish Patel</t>
  </si>
  <si>
    <t>Rahul Sharma</t>
  </si>
  <si>
    <t>Pooja Verma</t>
  </si>
  <si>
    <t>Kavita Patel</t>
  </si>
  <si>
    <t>Arjun Mishra</t>
  </si>
  <si>
    <t>Simran Kumar</t>
  </si>
  <si>
    <t>Varun Yadav</t>
  </si>
  <si>
    <t>Karan Kumar</t>
  </si>
  <si>
    <t>Priya Sharma</t>
  </si>
  <si>
    <t>Sneha Jain</t>
  </si>
  <si>
    <t>Meera Gupta</t>
  </si>
  <si>
    <t>Manish Verma</t>
  </si>
  <si>
    <t>Manish Agarwal</t>
  </si>
  <si>
    <t>Riya Sharma</t>
  </si>
  <si>
    <t>Anjali Singh</t>
  </si>
  <si>
    <t>Karan Jain</t>
  </si>
  <si>
    <t>Neha Singh</t>
  </si>
  <si>
    <t>Sahil Jain</t>
  </si>
  <si>
    <t>Rohit Verma</t>
  </si>
  <si>
    <t>Sahil Agarwal</t>
  </si>
  <si>
    <t>Meera Patel</t>
  </si>
  <si>
    <t>Manish Gupta</t>
  </si>
  <si>
    <t>Pooja Patel</t>
  </si>
  <si>
    <t>Simran Sharma</t>
  </si>
  <si>
    <t>Rahul Verma</t>
  </si>
  <si>
    <t>Kavita Agarwal</t>
  </si>
  <si>
    <t>Rahul Kumar</t>
  </si>
  <si>
    <t>Priya Jain</t>
  </si>
  <si>
    <t>Karan Mishra</t>
  </si>
  <si>
    <t>Meera Singh</t>
  </si>
  <si>
    <t>Varun Patel</t>
  </si>
  <si>
    <t>Pooja Yadav</t>
  </si>
  <si>
    <t>Rohit Agarwal</t>
  </si>
  <si>
    <t>Neha Patel</t>
  </si>
  <si>
    <t>Manish Mishra</t>
  </si>
  <si>
    <t>Sahil Mishra</t>
  </si>
  <si>
    <t>Pooja Gupta</t>
  </si>
  <si>
    <t>Arjun Agarwal</t>
  </si>
  <si>
    <t>Vikas Verma</t>
  </si>
  <si>
    <t>Amit Kumar</t>
  </si>
  <si>
    <t>Rahul Yadav</t>
  </si>
  <si>
    <t>Amit Mishra</t>
  </si>
  <si>
    <t>Nisha Mishra</t>
  </si>
  <si>
    <t>Amit Yadav</t>
  </si>
  <si>
    <t>Anjali Mishra</t>
  </si>
  <si>
    <t>Kavita Singh</t>
  </si>
  <si>
    <t>Manish Sharma</t>
  </si>
  <si>
    <t>Manish Jain</t>
  </si>
  <si>
    <t>Amit Verma</t>
  </si>
  <si>
    <t>Amit Gupta</t>
  </si>
  <si>
    <t>Sahil Yadav</t>
  </si>
  <si>
    <t>Order Date - Month</t>
  </si>
  <si>
    <t>Jan</t>
  </si>
  <si>
    <t>Feb</t>
  </si>
  <si>
    <t>Mar</t>
  </si>
  <si>
    <t>Apr</t>
  </si>
  <si>
    <t>May</t>
  </si>
  <si>
    <t>Jun</t>
  </si>
  <si>
    <t>Jul</t>
  </si>
  <si>
    <t>Aug</t>
  </si>
  <si>
    <t>Sep</t>
  </si>
  <si>
    <t>Oct</t>
  </si>
  <si>
    <t>Nov</t>
  </si>
  <si>
    <t>Dec</t>
  </si>
  <si>
    <t>resion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</si>
</sst>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14">
    <font>
      <sz val="11.0"/>
      <color theme="1"/>
      <name val="Calibri"/>
      <scheme val="minor"/>
    </font>
    <font>
      <color theme="1"/>
      <name val="Calibri"/>
      <scheme val="minor"/>
    </font>
    <font>
      <b/>
      <sz val="13.0"/>
      <color rgb="FFFFFFFF"/>
      <name val="Arial"/>
    </font>
    <font>
      <sz val="11.0"/>
      <color theme="1"/>
      <name val="Arial"/>
    </font>
    <font>
      <sz val="11.0"/>
      <color theme="1"/>
      <name val="Calibri"/>
    </font>
    <font>
      <b/>
      <sz val="11.0"/>
      <color rgb="FFFFFFFF"/>
      <name val="Arial"/>
    </font>
    <font>
      <sz val="10.0"/>
      <color theme="1"/>
      <name val="Arial"/>
    </font>
    <font>
      <sz val="12.0"/>
      <color theme="1"/>
      <name val="Calibri"/>
      <scheme val="minor"/>
    </font>
    <font>
      <b/>
      <sz val="17.0"/>
      <color rgb="FF1F3864"/>
      <name val="Arial"/>
    </font>
    <font>
      <i/>
      <sz val="11.0"/>
      <color rgb="FF595959"/>
      <name val="Arial"/>
    </font>
    <font>
      <b/>
      <color theme="1"/>
      <name val="Calibri"/>
      <scheme val="minor"/>
    </font>
    <font>
      <b/>
      <sz val="11.0"/>
      <color theme="1"/>
      <name val="Calibri"/>
    </font>
    <font>
      <color rgb="FF1F1F1F"/>
      <name val="&quot;Google Sans Text&quot;"/>
    </font>
    <font>
      <sz val="11.0"/>
      <color rgb="FF000000"/>
      <name val="Calibri"/>
    </font>
  </fonts>
  <fills count="6">
    <fill>
      <patternFill patternType="none"/>
    </fill>
    <fill>
      <patternFill patternType="lightGray"/>
    </fill>
    <fill>
      <patternFill patternType="solid">
        <fgColor rgb="FFED7D31"/>
        <bgColor rgb="FFED7D31"/>
      </patternFill>
    </fill>
    <fill>
      <patternFill patternType="solid">
        <fgColor rgb="FF1F3864"/>
        <bgColor rgb="FF1F3864"/>
      </patternFill>
    </fill>
    <fill>
      <patternFill patternType="solid">
        <fgColor rgb="FFF2F7FC"/>
        <bgColor rgb="FFF2F7FC"/>
      </patternFill>
    </fill>
    <fill>
      <patternFill patternType="solid">
        <fgColor rgb="FFD9EAF7"/>
        <bgColor rgb="FFD9EAF7"/>
      </patternFill>
    </fill>
  </fills>
  <borders count="10">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bottom style="thin">
        <color rgb="FF000000"/>
      </bottom>
    </border>
    <border>
      <left/>
      <right/>
      <top/>
      <bottom style="thin">
        <color rgb="FF000000"/>
      </bottom>
    </border>
    <border>
      <left/>
      <right/>
      <top/>
      <bottom/>
    </border>
    <border>
      <left/>
      <top/>
      <bottom/>
    </border>
    <border>
      <left style="thin">
        <color rgb="FF000000"/>
      </left>
      <right style="thin">
        <color rgb="FF000000"/>
      </right>
      <top style="thin">
        <color rgb="FF000000"/>
      </top>
      <bottom style="thin">
        <color rgb="FF000000"/>
      </bottom>
    </border>
    <border>
      <right/>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left" vertical="bottom"/>
    </xf>
    <xf borderId="1" fillId="2" fontId="2" numFmtId="0" xfId="0" applyAlignment="1" applyBorder="1" applyFill="1" applyFont="1">
      <alignment vertical="center"/>
    </xf>
    <xf borderId="0" fillId="0" fontId="1" numFmtId="0" xfId="0" applyAlignment="1" applyFont="1">
      <alignment horizontal="left"/>
    </xf>
    <xf borderId="0" fillId="0" fontId="1" numFmtId="0" xfId="0" applyAlignment="1" applyFont="1">
      <alignment horizontal="left"/>
    </xf>
    <xf borderId="2" fillId="0" fontId="3" numFmtId="0" xfId="0" applyAlignment="1" applyBorder="1" applyFont="1">
      <alignment shrinkToFit="0" vertical="top" wrapText="1"/>
    </xf>
    <xf borderId="0" fillId="0" fontId="1" numFmtId="0" xfId="0" applyAlignment="1" applyFont="1">
      <alignment vertical="bottom"/>
    </xf>
    <xf borderId="0" fillId="0" fontId="1" numFmtId="0" xfId="0" applyAlignment="1" applyFont="1">
      <alignment horizontal="left"/>
    </xf>
    <xf borderId="2" fillId="0" fontId="4" numFmtId="0" xfId="0" applyBorder="1" applyFont="1"/>
    <xf borderId="3" fillId="2" fontId="2" numFmtId="0" xfId="0" applyAlignment="1" applyBorder="1" applyFill="1" applyFont="1">
      <alignment vertical="center"/>
    </xf>
    <xf borderId="0" fillId="0" fontId="1" numFmtId="0" xfId="0" applyAlignment="1" applyFont="1">
      <alignment horizontal="left" readingOrder="0"/>
    </xf>
    <xf borderId="0" fillId="0" fontId="1" numFmtId="164" xfId="0" applyAlignment="1" applyFont="1" applyNumberFormat="1">
      <alignment horizontal="left"/>
    </xf>
    <xf borderId="4" fillId="0" fontId="3" numFmtId="0" xfId="0" applyAlignment="1" applyBorder="1" applyFont="1">
      <alignment shrinkToFit="0" vertical="top" wrapText="1"/>
    </xf>
    <xf borderId="0" fillId="0" fontId="1" numFmtId="3" xfId="0" applyAlignment="1" applyFont="1" applyNumberFormat="1">
      <alignment horizontal="left"/>
    </xf>
    <xf borderId="0" fillId="0" fontId="1" numFmtId="0" xfId="0" applyAlignment="1" applyFont="1">
      <alignment horizontal="left" vertical="bottom"/>
    </xf>
    <xf borderId="0" fillId="0" fontId="1" numFmtId="0" xfId="0" applyFont="1"/>
    <xf borderId="5" fillId="3" fontId="5" numFmtId="0" xfId="0" applyAlignment="1" applyBorder="1" applyFill="1" applyFont="1">
      <alignment horizontal="left" readingOrder="0" shrinkToFit="0" vertical="center" wrapText="1"/>
    </xf>
    <xf borderId="5" fillId="3" fontId="5" numFmtId="0" xfId="0" applyAlignment="1" applyBorder="1" applyFill="1" applyFont="1">
      <alignment horizontal="left" shrinkToFit="0" vertical="center" wrapText="1"/>
    </xf>
    <xf borderId="5" fillId="3" fontId="5" numFmtId="0" xfId="0" applyAlignment="1" applyBorder="1" applyFill="1" applyFont="1">
      <alignment horizontal="left" shrinkToFit="0" vertical="center" wrapText="1"/>
    </xf>
    <xf borderId="0" fillId="0" fontId="1" numFmtId="0" xfId="0" applyAlignment="1" applyFont="1">
      <alignment readingOrder="0"/>
    </xf>
    <xf borderId="6" fillId="0" fontId="6" numFmtId="0" xfId="0" applyAlignment="1" applyBorder="1" applyFont="1">
      <alignment horizontal="left"/>
    </xf>
    <xf borderId="6" fillId="0" fontId="6" numFmtId="164" xfId="0" applyAlignment="1" applyBorder="1" applyFont="1" applyNumberFormat="1">
      <alignment horizontal="left"/>
    </xf>
    <xf borderId="6" fillId="0" fontId="6" numFmtId="0" xfId="0" applyAlignment="1" applyBorder="1" applyFont="1">
      <alignment horizontal="left" readingOrder="0"/>
    </xf>
    <xf borderId="5" fillId="0" fontId="6" numFmtId="0" xfId="0" applyAlignment="1" applyBorder="1" applyFont="1">
      <alignment horizontal="left" readingOrder="0"/>
    </xf>
    <xf borderId="6" fillId="0" fontId="6" numFmtId="3" xfId="0" applyAlignment="1" applyBorder="1" applyFont="1" applyNumberFormat="1">
      <alignment horizontal="left"/>
    </xf>
    <xf borderId="0" fillId="0" fontId="6" numFmtId="0" xfId="0" applyAlignment="1" applyFont="1">
      <alignment horizontal="left"/>
    </xf>
    <xf borderId="0" fillId="0" fontId="6" numFmtId="164" xfId="0" applyAlignment="1" applyFont="1" applyNumberFormat="1">
      <alignment horizontal="left"/>
    </xf>
    <xf borderId="0" fillId="0" fontId="6" numFmtId="0" xfId="0" applyAlignment="1" applyFont="1">
      <alignment horizontal="left" readingOrder="0"/>
    </xf>
    <xf borderId="0" fillId="0" fontId="6" numFmtId="3" xfId="0" applyAlignment="1" applyFont="1" applyNumberFormat="1">
      <alignment horizontal="left"/>
    </xf>
    <xf borderId="6" fillId="4" fontId="6" numFmtId="0" xfId="0" applyAlignment="1" applyBorder="1" applyFill="1" applyFont="1">
      <alignment horizontal="left"/>
    </xf>
    <xf borderId="6" fillId="4" fontId="6" numFmtId="3" xfId="0" applyAlignment="1" applyBorder="1" applyFill="1" applyFont="1" applyNumberFormat="1">
      <alignment horizontal="left"/>
    </xf>
    <xf borderId="7" fillId="0" fontId="6" numFmtId="0" xfId="0" applyAlignment="1" applyBorder="1" applyFont="1">
      <alignment horizontal="left"/>
    </xf>
    <xf borderId="8" fillId="0" fontId="6" numFmtId="3" xfId="0" applyAlignment="1" applyBorder="1" applyFont="1" applyNumberFormat="1">
      <alignment horizontal="left"/>
    </xf>
    <xf borderId="9" fillId="0" fontId="6" numFmtId="3" xfId="0" applyAlignment="1" applyBorder="1" applyFont="1" applyNumberFormat="1">
      <alignment horizontal="left"/>
    </xf>
    <xf borderId="0" fillId="4" fontId="6" numFmtId="0" xfId="0" applyAlignment="1" applyFill="1" applyFont="1">
      <alignment horizontal="left"/>
    </xf>
    <xf borderId="0" fillId="4" fontId="6" numFmtId="3" xfId="0" applyAlignment="1" applyFill="1" applyFont="1" applyNumberFormat="1">
      <alignment horizontal="left"/>
    </xf>
    <xf borderId="0" fillId="4" fontId="6" numFmtId="0" xfId="0" applyAlignment="1" applyFill="1" applyFont="1">
      <alignment horizontal="left" readingOrder="0"/>
    </xf>
    <xf borderId="0" fillId="0" fontId="7" numFmtId="0" xfId="0" applyAlignment="1" applyFont="1">
      <alignment horizontal="center" vertical="center"/>
    </xf>
    <xf borderId="8" fillId="0" fontId="7" numFmtId="0" xfId="0" applyAlignment="1" applyBorder="1" applyFont="1">
      <alignment horizontal="center" vertical="center"/>
    </xf>
    <xf borderId="8" fillId="0" fontId="7" numFmtId="3" xfId="0" applyAlignment="1" applyBorder="1" applyFont="1" applyNumberFormat="1">
      <alignment horizontal="center" vertical="center"/>
    </xf>
    <xf borderId="8" fillId="3" fontId="5" numFmtId="0" xfId="0" applyAlignment="1" applyBorder="1" applyFill="1" applyFont="1">
      <alignment horizontal="left" readingOrder="0" shrinkToFit="0" vertical="center" wrapText="1"/>
    </xf>
    <xf borderId="8" fillId="3" fontId="5" numFmtId="0" xfId="0" applyAlignment="1" applyBorder="1" applyFill="1" applyFont="1">
      <alignment horizontal="left" shrinkToFit="0" vertical="center" wrapText="1"/>
    </xf>
    <xf borderId="8" fillId="3" fontId="5" numFmtId="0" xfId="0" applyAlignment="1" applyBorder="1" applyFill="1" applyFont="1">
      <alignment horizontal="left" shrinkToFit="0" vertical="center" wrapText="1"/>
    </xf>
    <xf borderId="8" fillId="0" fontId="1" numFmtId="0" xfId="0" applyBorder="1" applyFont="1"/>
    <xf borderId="8" fillId="0" fontId="6" numFmtId="164" xfId="0" applyAlignment="1" applyBorder="1" applyFont="1" applyNumberFormat="1">
      <alignment horizontal="center"/>
    </xf>
    <xf borderId="8" fillId="0" fontId="6" numFmtId="0" xfId="0" applyAlignment="1" applyBorder="1" applyFont="1">
      <alignment horizontal="center" readingOrder="0"/>
    </xf>
    <xf borderId="8" fillId="0" fontId="6" numFmtId="0" xfId="0" applyAlignment="1" applyBorder="1" applyFont="1">
      <alignment horizontal="center"/>
    </xf>
    <xf borderId="8" fillId="0" fontId="6" numFmtId="3" xfId="0" applyAlignment="1" applyBorder="1" applyFont="1" applyNumberFormat="1">
      <alignment horizontal="center"/>
    </xf>
    <xf borderId="8" fillId="4" fontId="6" numFmtId="0" xfId="0" applyAlignment="1" applyBorder="1" applyFill="1" applyFont="1">
      <alignment horizontal="center"/>
    </xf>
    <xf borderId="8" fillId="4" fontId="6" numFmtId="3" xfId="0" applyAlignment="1" applyBorder="1" applyFill="1" applyFont="1" applyNumberFormat="1">
      <alignment horizontal="center"/>
    </xf>
    <xf borderId="8" fillId="4" fontId="6" numFmtId="0" xfId="0" applyAlignment="1" applyBorder="1" applyFill="1" applyFont="1">
      <alignment horizontal="center" readingOrder="0"/>
    </xf>
    <xf borderId="0" fillId="0" fontId="1" numFmtId="3" xfId="0" applyFont="1" applyNumberFormat="1"/>
    <xf borderId="0" fillId="0" fontId="0" numFmtId="0" xfId="0" applyAlignment="1" applyFont="1">
      <alignment readingOrder="0"/>
    </xf>
    <xf borderId="0" fillId="0" fontId="8" numFmtId="0" xfId="0" applyFont="1"/>
    <xf borderId="0" fillId="0" fontId="9" numFmtId="0" xfId="0" applyFont="1"/>
    <xf borderId="6" fillId="2" fontId="2" numFmtId="0" xfId="0" applyAlignment="1" applyBorder="1" applyFill="1" applyFont="1">
      <alignment vertical="center"/>
    </xf>
    <xf borderId="0" fillId="0" fontId="3" numFmtId="0" xfId="0" applyAlignment="1" applyFont="1">
      <alignment shrinkToFit="0" vertical="top" wrapText="1"/>
    </xf>
    <xf borderId="0" fillId="0" fontId="10" numFmtId="0" xfId="0" applyAlignment="1" applyFont="1">
      <alignment readingOrder="0"/>
    </xf>
    <xf borderId="0" fillId="0" fontId="10" numFmtId="0" xfId="0" applyFont="1"/>
    <xf borderId="8" fillId="5" fontId="11" numFmtId="0" xfId="0" applyAlignment="1" applyBorder="1" applyFill="1" applyFont="1">
      <alignment horizontal="center" readingOrder="0" shrinkToFit="0" vertical="bottom" wrapText="0"/>
    </xf>
    <xf borderId="0" fillId="0" fontId="12" numFmtId="0" xfId="0" applyAlignment="1" applyFont="1">
      <alignment readingOrder="0"/>
    </xf>
    <xf borderId="0" fillId="0" fontId="13" numFmtId="0" xfId="0" applyAlignment="1" applyFont="1">
      <alignment readingOrder="0" shrinkToFit="0" vertical="bottom" wrapText="0"/>
    </xf>
    <xf borderId="0" fillId="0" fontId="12" numFmtId="3" xfId="0" applyAlignment="1" applyFont="1" applyNumberFormat="1">
      <alignment readingOrder="0"/>
    </xf>
    <xf borderId="0" fillId="4" fontId="6" numFmtId="0" xfId="0" applyAlignment="1" applyFill="1" applyFont="1">
      <alignment horizontal="left" readingOrder="0" vertical="bottom"/>
    </xf>
    <xf borderId="0" fillId="4" fontId="6" numFmtId="164" xfId="0" applyAlignment="1" applyFill="1" applyFont="1" applyNumberFormat="1">
      <alignment horizontal="left"/>
    </xf>
    <xf borderId="0" fillId="0" fontId="1" numFmtId="165" xfId="0" applyFont="1" applyNumberFormat="1"/>
    <xf borderId="8" fillId="4" fontId="6" numFmtId="0" xfId="0" applyAlignment="1" applyBorder="1" applyFill="1" applyFont="1">
      <alignment horizontal="center" readingOrder="0" vertical="bottom"/>
    </xf>
    <xf borderId="8" fillId="4" fontId="6" numFmtId="164" xfId="0" applyAlignment="1" applyBorder="1" applyFill="1" applyFont="1" applyNumberFormat="1">
      <alignment horizontal="center"/>
    </xf>
    <xf borderId="8"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7.xml"/><Relationship Id="rId22" Type="http://schemas.openxmlformats.org/officeDocument/2006/relationships/pivotCacheDefinition" Target="pivotCache/pivotCacheDefinition4.xml"/><Relationship Id="rId10" Type="http://schemas.openxmlformats.org/officeDocument/2006/relationships/worksheet" Target="worksheets/sheet6.xml"/><Relationship Id="rId21" Type="http://schemas.openxmlformats.org/officeDocument/2006/relationships/pivotCacheDefinition" Target="pivotCache/pivotCacheDefinition3.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'Pivot Table 15'!$B$1:$B$2</c:f>
            </c:strRef>
          </c:tx>
          <c:spPr>
            <a:solidFill>
              <a:schemeClr val="accent1"/>
            </a:solidFill>
            <a:ln cmpd="sng">
              <a:noFill/>
            </a:ln>
          </c:spPr>
          <c:invertIfNegative val="0"/>
          <c:cat>
            <c:strRef>
              <c:f>'Pivot Table 15'!$A$3:$A$7</c:f>
            </c:strRef>
          </c:cat>
          <c:val>
            <c:numRef>
              <c:f>'Pivot Table 15'!$B$3:$B$7</c:f>
              <c:numCache/>
            </c:numRef>
          </c:val>
        </c:ser>
        <c:ser>
          <c:idx val="1"/>
          <c:order val="1"/>
          <c:tx>
            <c:strRef>
              <c:f>'Pivot Table 15'!$C$1:$C$2</c:f>
            </c:strRef>
          </c:tx>
          <c:spPr>
            <a:solidFill>
              <a:schemeClr val="accent2"/>
            </a:solidFill>
            <a:ln cmpd="sng">
              <a:noFill/>
            </a:ln>
          </c:spPr>
          <c:invertIfNegative val="0"/>
          <c:cat>
            <c:strRef>
              <c:f>'Pivot Table 15'!$A$3:$A$7</c:f>
            </c:strRef>
          </c:cat>
          <c:val>
            <c:numRef>
              <c:f>'Pivot Table 15'!$C$3:$C$7</c:f>
              <c:numCache/>
            </c:numRef>
          </c:val>
        </c:ser>
        <c:ser>
          <c:idx val="2"/>
          <c:order val="2"/>
          <c:tx>
            <c:strRef>
              <c:f>'Pivot Table 15'!$D$1:$D$2</c:f>
            </c:strRef>
          </c:tx>
          <c:spPr>
            <a:solidFill>
              <a:schemeClr val="accent3"/>
            </a:solidFill>
            <a:ln cmpd="sng">
              <a:noFill/>
            </a:ln>
          </c:spPr>
          <c:invertIfNegative val="0"/>
          <c:cat>
            <c:strRef>
              <c:f>'Pivot Table 15'!$A$3:$A$7</c:f>
            </c:strRef>
          </c:cat>
          <c:val>
            <c:numRef>
              <c:f>'Pivot Table 15'!$D$3:$D$7</c:f>
              <c:numCache/>
            </c:numRef>
          </c:val>
        </c:ser>
        <c:ser>
          <c:idx val="3"/>
          <c:order val="3"/>
          <c:tx>
            <c:strRef>
              <c:f>'Pivot Table 15'!$E$1:$E$2</c:f>
            </c:strRef>
          </c:tx>
          <c:spPr>
            <a:solidFill>
              <a:schemeClr val="accent4"/>
            </a:solidFill>
            <a:ln cmpd="sng">
              <a:noFill/>
            </a:ln>
          </c:spPr>
          <c:invertIfNegative val="0"/>
          <c:cat>
            <c:strRef>
              <c:f>'Pivot Table 15'!$A$3:$A$7</c:f>
            </c:strRef>
          </c:cat>
          <c:val>
            <c:numRef>
              <c:f>'Pivot Table 15'!$E$3:$E$7</c:f>
              <c:numCache/>
            </c:numRef>
          </c:val>
        </c:ser>
        <c:ser>
          <c:idx val="4"/>
          <c:order val="4"/>
          <c:tx>
            <c:strRef>
              <c:f>'Pivot Table 15'!$F$1:$F$2</c:f>
            </c:strRef>
          </c:tx>
          <c:spPr>
            <a:solidFill>
              <a:schemeClr val="accent5"/>
            </a:solidFill>
            <a:ln cmpd="sng">
              <a:noFill/>
            </a:ln>
          </c:spPr>
          <c:invertIfNegative val="0"/>
          <c:cat>
            <c:strRef>
              <c:f>'Pivot Table 15'!$A$3:$A$7</c:f>
            </c:strRef>
          </c:cat>
          <c:val>
            <c:numRef>
              <c:f>'Pivot Table 15'!$F$3:$F$7</c:f>
              <c:numCache/>
            </c:numRef>
          </c:val>
        </c:ser>
        <c:ser>
          <c:idx val="5"/>
          <c:order val="5"/>
          <c:tx>
            <c:strRef>
              <c:f>'Pivot Table 15'!$G$1:$G$2</c:f>
            </c:strRef>
          </c:tx>
          <c:spPr>
            <a:solidFill>
              <a:schemeClr val="accent6"/>
            </a:solidFill>
            <a:ln cmpd="sng">
              <a:noFill/>
            </a:ln>
          </c:spPr>
          <c:invertIfNegative val="0"/>
          <c:cat>
            <c:strRef>
              <c:f>'Pivot Table 15'!$A$3:$A$7</c:f>
            </c:strRef>
          </c:cat>
          <c:val>
            <c:numRef>
              <c:f>'Pivot Table 15'!$G$3:$G$7</c:f>
              <c:numCache/>
            </c:numRef>
          </c:val>
        </c:ser>
        <c:ser>
          <c:idx val="6"/>
          <c:order val="6"/>
          <c:tx>
            <c:strRef>
              <c:f>'Pivot Table 15'!$H$1:$H$2</c:f>
            </c:strRef>
          </c:tx>
          <c:spPr>
            <a:solidFill>
              <a:schemeClr val="accent1">
                <a:lumOff val="30000"/>
              </a:schemeClr>
            </a:solidFill>
            <a:ln cmpd="sng">
              <a:noFill/>
            </a:ln>
          </c:spPr>
          <c:invertIfNegative val="0"/>
          <c:cat>
            <c:strRef>
              <c:f>'Pivot Table 15'!$A$3:$A$7</c:f>
            </c:strRef>
          </c:cat>
          <c:val>
            <c:numRef>
              <c:f>'Pivot Table 15'!$H$3:$H$7</c:f>
              <c:numCache/>
            </c:numRef>
          </c:val>
        </c:ser>
        <c:ser>
          <c:idx val="7"/>
          <c:order val="7"/>
          <c:tx>
            <c:strRef>
              <c:f>'Pivot Table 15'!$I$1:$I$2</c:f>
            </c:strRef>
          </c:tx>
          <c:spPr>
            <a:solidFill>
              <a:schemeClr val="accent2">
                <a:lumOff val="30000"/>
              </a:schemeClr>
            </a:solidFill>
            <a:ln cmpd="sng">
              <a:noFill/>
            </a:ln>
          </c:spPr>
          <c:invertIfNegative val="0"/>
          <c:cat>
            <c:strRef>
              <c:f>'Pivot Table 15'!$A$3:$A$7</c:f>
            </c:strRef>
          </c:cat>
          <c:val>
            <c:numRef>
              <c:f>'Pivot Table 15'!$I$3:$I$7</c:f>
              <c:numCache/>
            </c:numRef>
          </c:val>
        </c:ser>
        <c:ser>
          <c:idx val="8"/>
          <c:order val="8"/>
          <c:tx>
            <c:strRef>
              <c:f>'Pivot Table 15'!$J$1:$J$2</c:f>
            </c:strRef>
          </c:tx>
          <c:spPr>
            <a:solidFill>
              <a:schemeClr val="accent3">
                <a:lumOff val="30000"/>
              </a:schemeClr>
            </a:solidFill>
            <a:ln cmpd="sng">
              <a:noFill/>
            </a:ln>
          </c:spPr>
          <c:invertIfNegative val="0"/>
          <c:cat>
            <c:strRef>
              <c:f>'Pivot Table 15'!$A$3:$A$7</c:f>
            </c:strRef>
          </c:cat>
          <c:val>
            <c:numRef>
              <c:f>'Pivot Table 15'!$J$3:$J$7</c:f>
              <c:numCache/>
            </c:numRef>
          </c:val>
        </c:ser>
        <c:ser>
          <c:idx val="9"/>
          <c:order val="9"/>
          <c:tx>
            <c:strRef>
              <c:f>'Pivot Table 15'!$K$1:$K$2</c:f>
            </c:strRef>
          </c:tx>
          <c:spPr>
            <a:solidFill>
              <a:schemeClr val="accent4">
                <a:lumOff val="30000"/>
              </a:schemeClr>
            </a:solidFill>
            <a:ln cmpd="sng">
              <a:noFill/>
            </a:ln>
          </c:spPr>
          <c:invertIfNegative val="0"/>
          <c:cat>
            <c:strRef>
              <c:f>'Pivot Table 15'!$A$3:$A$7</c:f>
            </c:strRef>
          </c:cat>
          <c:val>
            <c:numRef>
              <c:f>'Pivot Table 15'!$K$3:$K$7</c:f>
              <c:numCache/>
            </c:numRef>
          </c:val>
        </c:ser>
        <c:ser>
          <c:idx val="10"/>
          <c:order val="10"/>
          <c:tx>
            <c:strRef>
              <c:f>'Pivot Table 15'!$L$1:$L$2</c:f>
            </c:strRef>
          </c:tx>
          <c:spPr>
            <a:solidFill>
              <a:schemeClr val="accent5">
                <a:lumOff val="30000"/>
              </a:schemeClr>
            </a:solidFill>
            <a:ln cmpd="sng">
              <a:noFill/>
            </a:ln>
          </c:spPr>
          <c:invertIfNegative val="0"/>
          <c:cat>
            <c:strRef>
              <c:f>'Pivot Table 15'!$A$3:$A$7</c:f>
            </c:strRef>
          </c:cat>
          <c:val>
            <c:numRef>
              <c:f>'Pivot Table 15'!$L$3:$L$7</c:f>
              <c:numCache/>
            </c:numRef>
          </c:val>
        </c:ser>
        <c:ser>
          <c:idx val="11"/>
          <c:order val="11"/>
          <c:tx>
            <c:strRef>
              <c:f>'Pivot Table 15'!$M$1:$M$2</c:f>
            </c:strRef>
          </c:tx>
          <c:spPr>
            <a:solidFill>
              <a:schemeClr val="accent6">
                <a:lumOff val="30000"/>
              </a:schemeClr>
            </a:solidFill>
            <a:ln cmpd="sng">
              <a:noFill/>
            </a:ln>
          </c:spPr>
          <c:invertIfNegative val="0"/>
          <c:cat>
            <c:strRef>
              <c:f>'Pivot Table 15'!$A$3:$A$7</c:f>
            </c:strRef>
          </c:cat>
          <c:val>
            <c:numRef>
              <c:f>'Pivot Table 15'!$M$3:$M$7</c:f>
              <c:numCache/>
            </c:numRef>
          </c:val>
        </c:ser>
        <c:ser>
          <c:idx val="12"/>
          <c:order val="12"/>
          <c:tx>
            <c:strRef>
              <c:f>'Pivot Table 15'!$N$1:$N$2</c:f>
            </c:strRef>
          </c:tx>
          <c:spPr>
            <a:solidFill>
              <a:schemeClr val="accent1">
                <a:lumOff val="60000"/>
              </a:schemeClr>
            </a:solidFill>
            <a:ln cmpd="sng">
              <a:noFill/>
            </a:ln>
          </c:spPr>
          <c:invertIfNegative val="0"/>
          <c:cat>
            <c:strRef>
              <c:f>'Pivot Table 15'!$A$3:$A$7</c:f>
            </c:strRef>
          </c:cat>
          <c:val>
            <c:numRef>
              <c:f>'Pivot Table 15'!$N$3:$N$7</c:f>
              <c:numCache/>
            </c:numRef>
          </c:val>
        </c:ser>
        <c:ser>
          <c:idx val="13"/>
          <c:order val="13"/>
          <c:tx>
            <c:strRef>
              <c:f>'Pivot Table 15'!$O$1:$O$2</c:f>
            </c:strRef>
          </c:tx>
          <c:spPr>
            <a:solidFill>
              <a:schemeClr val="accent2">
                <a:lumOff val="60000"/>
              </a:schemeClr>
            </a:solidFill>
            <a:ln cmpd="sng">
              <a:noFill/>
            </a:ln>
          </c:spPr>
          <c:invertIfNegative val="0"/>
          <c:cat>
            <c:strRef>
              <c:f>'Pivot Table 15'!$A$3:$A$7</c:f>
            </c:strRef>
          </c:cat>
          <c:val>
            <c:numRef>
              <c:f>'Pivot Table 15'!$O$3:$O$7</c:f>
              <c:numCache/>
            </c:numRef>
          </c:val>
        </c:ser>
        <c:ser>
          <c:idx val="14"/>
          <c:order val="14"/>
          <c:tx>
            <c:strRef>
              <c:f>'Pivot Table 15'!$P$1:$P$2</c:f>
            </c:strRef>
          </c:tx>
          <c:spPr>
            <a:solidFill>
              <a:schemeClr val="accent3">
                <a:lumOff val="60000"/>
              </a:schemeClr>
            </a:solidFill>
            <a:ln cmpd="sng">
              <a:noFill/>
            </a:ln>
          </c:spPr>
          <c:invertIfNegative val="0"/>
          <c:cat>
            <c:strRef>
              <c:f>'Pivot Table 15'!$A$3:$A$7</c:f>
            </c:strRef>
          </c:cat>
          <c:val>
            <c:numRef>
              <c:f>'Pivot Table 15'!$P$3:$P$7</c:f>
              <c:numCache/>
            </c:numRef>
          </c:val>
        </c:ser>
        <c:ser>
          <c:idx val="15"/>
          <c:order val="15"/>
          <c:tx>
            <c:strRef>
              <c:f>'Pivot Table 15'!$Q$1:$Q$2</c:f>
            </c:strRef>
          </c:tx>
          <c:spPr>
            <a:solidFill>
              <a:schemeClr val="accent4">
                <a:lumOff val="60000"/>
              </a:schemeClr>
            </a:solidFill>
            <a:ln cmpd="sng">
              <a:noFill/>
            </a:ln>
          </c:spPr>
          <c:invertIfNegative val="0"/>
          <c:cat>
            <c:strRef>
              <c:f>'Pivot Table 15'!$A$3:$A$7</c:f>
            </c:strRef>
          </c:cat>
          <c:val>
            <c:numRef>
              <c:f>'Pivot Table 15'!$Q$3:$Q$7</c:f>
              <c:numCache/>
            </c:numRef>
          </c:val>
        </c:ser>
        <c:ser>
          <c:idx val="16"/>
          <c:order val="16"/>
          <c:tx>
            <c:strRef>
              <c:f>'Pivot Table 15'!$R$1:$R$2</c:f>
            </c:strRef>
          </c:tx>
          <c:spPr>
            <a:solidFill>
              <a:schemeClr val="accent5">
                <a:lumOff val="60000"/>
              </a:schemeClr>
            </a:solidFill>
            <a:ln cmpd="sng">
              <a:noFill/>
            </a:ln>
          </c:spPr>
          <c:invertIfNegative val="0"/>
          <c:cat>
            <c:strRef>
              <c:f>'Pivot Table 15'!$A$3:$A$7</c:f>
            </c:strRef>
          </c:cat>
          <c:val>
            <c:numRef>
              <c:f>'Pivot Table 15'!$R$3:$R$7</c:f>
              <c:numCache/>
            </c:numRef>
          </c:val>
        </c:ser>
        <c:overlap val="100"/>
        <c:axId val="509398821"/>
        <c:axId val="2068414765"/>
      </c:barChart>
      <c:catAx>
        <c:axId val="5093988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68414765"/>
      </c:catAx>
      <c:valAx>
        <c:axId val="20684147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9398821"/>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7</xdr:row>
      <xdr:rowOff>142875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421" sheet="SuperMart - Raw Data"/>
  </cacheSource>
  <cacheFields>
    <cacheField name="orderId" numFmtId="0">
      <sharedItems containsSemiMixedTypes="0" containsString="0" containsNumber="1" containsInteger="1">
        <n v="20121.0"/>
        <n v="20122.0"/>
        <n v="20123.0"/>
        <n v="20124.0"/>
        <n v="20125.0"/>
        <n v="20126.0"/>
        <n v="20127.0"/>
        <n v="20128.0"/>
        <n v="20129.0"/>
        <n v="20053.0"/>
        <n v="20140.0"/>
        <n v="20287.0"/>
        <n v="20328.0"/>
        <n v="20033.0"/>
        <n v="20403.0"/>
        <n v="20276.0"/>
        <n v="20008.0"/>
        <n v="20290.0"/>
        <n v="20240.0"/>
        <n v="20037.0"/>
        <n v="20082.0"/>
        <n v="20086.0"/>
        <n v="20196.0"/>
        <n v="20113.0"/>
        <n v="20256.0"/>
        <n v="20261.0"/>
        <n v="20014.0"/>
        <n v="20147.0"/>
        <n v="20205.0"/>
        <n v="20172.0"/>
        <n v="20263.0"/>
        <n v="20303.0"/>
        <n v="20085.0"/>
        <n v="20267.0"/>
        <n v="20026.0"/>
        <n v="20042.0"/>
        <n v="20154.0"/>
        <n v="20189.0"/>
        <n v="20359.0"/>
        <n v="20273.0"/>
        <n v="20119.0"/>
        <n v="20060.0"/>
        <n v="20075.0"/>
        <n v="20320.0"/>
        <n v="20250.0"/>
        <n v="20336.0"/>
        <n v="20068.0"/>
        <n v="20006.0"/>
        <n v="20083.0"/>
        <n v="20130.0"/>
        <n v="20254.0"/>
        <n v="20410.0"/>
        <n v="20028.0"/>
        <n v="20227.0"/>
        <n v="20367.0"/>
        <n v="20393.0"/>
        <n v="20103.0"/>
        <n v="20138.0"/>
        <n v="20298.0"/>
        <n v="20335.0"/>
        <n v="20200.0"/>
        <n v="20395.0"/>
        <n v="20144.0"/>
        <n v="20248.0"/>
        <n v="20369.0"/>
        <n v="20166.0"/>
        <n v="20349.0"/>
        <n v="20155.0"/>
        <n v="20277.0"/>
        <n v="20324.0"/>
        <n v="20257.0"/>
        <n v="20235.0"/>
        <n v="20190.0"/>
        <n v="20236.0"/>
        <n v="20160.0"/>
        <n v="20031.0"/>
        <n v="20377.0"/>
        <n v="20413.0"/>
        <n v="20057.0"/>
        <n v="20330.0"/>
        <n v="20152.0"/>
        <n v="20264.0"/>
        <n v="20162.0"/>
        <n v="20184.0"/>
        <n v="20309.0"/>
        <n v="20181.0"/>
        <n v="20312.0"/>
        <n v="20093.0"/>
        <n v="20337.0"/>
        <n v="20319.0"/>
        <n v="20357.0"/>
        <n v="20073.0"/>
        <n v="20087.0"/>
        <n v="20389.0"/>
        <n v="20365.0"/>
        <n v="20111.0"/>
        <n v="20412.0"/>
        <n v="20059.0"/>
        <n v="20142.0"/>
        <n v="20408.0"/>
        <n v="20215.0"/>
        <n v="20299.0"/>
        <n v="20383.0"/>
        <n v="20347.0"/>
        <n v="20392.0"/>
        <n v="20020.0"/>
        <n v="20120.0"/>
        <n v="20013.0"/>
        <n v="20034.0"/>
        <n v="20222.0"/>
        <n v="20313.0"/>
        <n v="20174.0"/>
        <n v="20351.0"/>
        <n v="20302.0"/>
        <n v="20063.0"/>
        <n v="20106.0"/>
        <n v="20258.0"/>
        <n v="20275.0"/>
        <n v="20043.0"/>
        <n v="20049.0"/>
        <n v="20061.0"/>
        <n v="20289.0"/>
        <n v="20078.0"/>
        <n v="20197.0"/>
        <n v="20211.0"/>
        <n v="20334.0"/>
        <n v="20194.0"/>
        <n v="20183.0"/>
        <n v="20161.0"/>
        <n v="20193.0"/>
        <n v="20406.0"/>
        <n v="20027.0"/>
        <n v="20058.0"/>
        <n v="20280.0"/>
        <n v="20045.0"/>
        <n v="20292.0"/>
        <n v="20310.0"/>
        <n v="20101.0"/>
        <n v="20133.0"/>
        <n v="20414.0"/>
        <n v="20198.0"/>
        <n v="20262.0"/>
        <n v="20051.0"/>
        <n v="20401.0"/>
        <n v="20381.0"/>
        <n v="20102.0"/>
        <n v="20145.0"/>
        <n v="20245.0"/>
        <n v="20247.0"/>
        <n v="20282.0"/>
        <n v="20114.0"/>
        <n v="20035.0"/>
        <n v="20223.0"/>
        <n v="20136.0"/>
        <n v="20175.0"/>
        <n v="20224.0"/>
        <n v="20346.0"/>
        <n v="20294.0"/>
        <n v="20180.0"/>
        <n v="20038.0"/>
        <n v="20220.0"/>
        <n v="20089.0"/>
        <n v="20195.0"/>
        <n v="20307.0"/>
        <n v="20373.0"/>
        <n v="20143.0"/>
        <n v="20023.0"/>
        <n v="20107.0"/>
        <n v="20405.0"/>
        <n v="20025.0"/>
        <n v="20212.0"/>
        <n v="20266.0"/>
        <n v="20317.0"/>
        <n v="20040.0"/>
        <n v="20118.0"/>
        <n v="20218.0"/>
        <n v="20168.0"/>
        <n v="20187.0"/>
        <n v="20246.0"/>
        <n v="20231.0"/>
        <n v="20342.0"/>
        <n v="20030.0"/>
        <n v="20074.0"/>
        <n v="20323.0"/>
        <n v="20415.0"/>
        <n v="20288.0"/>
        <n v="20316.0"/>
        <n v="20295.0"/>
        <n v="20080.0"/>
        <n v="20029.0"/>
        <n v="20173.0"/>
        <n v="20229.0"/>
        <n v="20418.0"/>
        <n v="20300.0"/>
        <n v="20291.0"/>
        <n v="20241.0"/>
        <n v="20360.0"/>
        <n v="20091.0"/>
        <n v="20139.0"/>
        <n v="20284.0"/>
        <n v="20274.0"/>
        <n v="20332.0"/>
        <n v="20249.0"/>
        <n v="20297.0"/>
        <n v="20374.0"/>
        <n v="20380.0"/>
        <n v="20092.0"/>
        <n v="20131.0"/>
        <n v="20094.0"/>
        <n v="20233.0"/>
        <n v="20411.0"/>
        <n v="20110.0"/>
        <n v="20153.0"/>
        <n v="20252.0"/>
        <n v="20097.0"/>
        <n v="20202.0"/>
        <n v="20271.0"/>
        <n v="20135.0"/>
        <n v="20199.0"/>
        <n v="20388.0"/>
        <n v="20004.0"/>
        <n v="20279.0"/>
        <n v="20213.0"/>
        <n v="20397.0"/>
        <n v="20150.0"/>
        <n v="20022.0"/>
        <n v="20216.0"/>
        <n v="20163.0"/>
        <n v="20409.0"/>
        <n v="20090.0"/>
        <n v="20115.0"/>
        <n v="20420.0"/>
        <n v="20104.0"/>
        <n v="20096.0"/>
        <n v="20269.0"/>
        <n v="20296.0"/>
        <n v="20322.0"/>
        <n v="20394.0"/>
        <n v="20203.0"/>
        <n v="20308.0"/>
        <n v="20002.0"/>
        <n v="20019.0"/>
        <n v="20116.0"/>
        <n v="20217.0"/>
        <n v="20012.0"/>
        <n v="20338.0"/>
        <n v="20339.0"/>
        <n v="20098.0"/>
        <n v="20278.0"/>
        <n v="20146.0"/>
        <n v="20003.0"/>
        <n v="20225.0"/>
        <n v="20069.0"/>
        <n v="20232.0"/>
        <n v="20151.0"/>
        <n v="20350.0"/>
        <n v="20099.0"/>
        <n v="20185.0"/>
        <n v="20188.0"/>
        <n v="20009.0"/>
        <n v="20348.0"/>
        <n v="20417.0"/>
        <n v="20358.0"/>
        <n v="20052.0"/>
        <n v="20065.0"/>
        <n v="20321.0"/>
        <n v="20079.0"/>
        <n v="20265.0"/>
        <n v="20015.0"/>
        <n v="20169.0"/>
        <n v="20301.0"/>
        <n v="20352.0"/>
        <n v="20384.0"/>
        <n v="20081.0"/>
        <n v="20379.0"/>
        <n v="20382.0"/>
        <n v="20238.0"/>
        <n v="20010.0"/>
        <n v="20293.0"/>
        <n v="20343.0"/>
        <n v="20167.0"/>
        <n v="20206.0"/>
        <n v="20134.0"/>
        <n v="20182.0"/>
        <n v="20363.0"/>
        <n v="20404.0"/>
        <n v="20076.0"/>
        <n v="20156.0"/>
        <n v="20398.0"/>
        <n v="20315.0"/>
        <n v="20304.0"/>
        <n v="20208.0"/>
        <n v="20186.0"/>
        <n v="20281.0"/>
        <n v="20011.0"/>
        <n v="20112.0"/>
        <n v="20270.0"/>
        <n v="20325.0"/>
        <n v="20056.0"/>
        <n v="20192.0"/>
        <n v="20179.0"/>
        <n v="20201.0"/>
        <n v="20368.0"/>
        <n v="20259.0"/>
        <n v="20305.0"/>
        <n v="20176.0"/>
        <n v="20191.0"/>
        <n v="20239.0"/>
        <n v="20364.0"/>
        <n v="20046.0"/>
        <n v="20362.0"/>
        <n v="20047.0"/>
        <n v="20354.0"/>
        <n v="20371.0"/>
        <n v="20005.0"/>
        <n v="20210.0"/>
        <n v="20100.0"/>
        <n v="20255.0"/>
        <n v="20108.0"/>
        <n v="20341.0"/>
        <n v="20165.0"/>
        <n v="20285.0"/>
        <n v="20209.0"/>
        <n v="20039.0"/>
        <n v="20318.0"/>
        <n v="20149.0"/>
        <n v="20402.0"/>
        <n v="20416.0"/>
        <n v="20170.0"/>
        <n v="20157.0"/>
        <n v="20387.0"/>
        <n v="20283.0"/>
        <n v="20234.0"/>
        <n v="20419.0"/>
        <n v="20017.0"/>
        <n v="20070.0"/>
        <n v="20326.0"/>
        <n v="20391.0"/>
        <n v="20024.0"/>
        <n v="20044.0"/>
        <n v="20071.0"/>
        <n v="20036.0"/>
        <n v="20072.0"/>
        <n v="20109.0"/>
        <n v="20286.0"/>
        <n v="20344.0"/>
        <n v="20054.0"/>
        <n v="20375.0"/>
        <n v="20137.0"/>
        <n v="20314.0"/>
        <n v="20214.0"/>
        <n v="20242.0"/>
        <n v="20067.0"/>
        <n v="20306.0"/>
        <n v="20331.0"/>
        <n v="20237.0"/>
        <n v="20345.0"/>
        <n v="20050.0"/>
        <n v="20268.0"/>
        <n v="20066.0"/>
        <n v="20385.0"/>
        <n v="20376.0"/>
        <n v="20105.0"/>
        <n v="20356.0"/>
        <n v="20007.0"/>
        <n v="20311.0"/>
        <n v="20396.0"/>
        <n v="20177.0"/>
        <n v="20226.0"/>
        <n v="20001.0"/>
        <n v="20204.0"/>
        <n v="20148.0"/>
        <n v="20370.0"/>
        <n v="20016.0"/>
        <n v="20253.0"/>
        <n v="20260.0"/>
        <n v="20021.0"/>
        <n v="20158.0"/>
        <n v="20178.0"/>
        <n v="20244.0"/>
        <n v="20372.0"/>
        <n v="20399.0"/>
        <n v="20141.0"/>
        <n v="20329.0"/>
        <n v="20386.0"/>
        <n v="20041.0"/>
        <n v="20272.0"/>
        <n v="20355.0"/>
        <n v="20088.0"/>
        <n v="20018.0"/>
        <n v="20340.0"/>
        <n v="20361.0"/>
        <n v="20333.0"/>
        <n v="20353.0"/>
        <n v="20095.0"/>
        <n v="20407.0"/>
        <n v="20132.0"/>
        <n v="20228.0"/>
        <n v="20032.0"/>
        <n v="20159.0"/>
        <n v="20219.0"/>
        <n v="20327.0"/>
        <n v="20055.0"/>
        <n v="20084.0"/>
        <n v="20251.0"/>
        <n v="20077.0"/>
        <n v="20171.0"/>
        <n v="20062.0"/>
        <n v="20243.0"/>
        <n v="20400.0"/>
        <n v="20064.0"/>
        <n v="20230.0"/>
      </sharedItems>
    </cacheField>
    <cacheField name="Order Date" numFmtId="164">
      <sharedItems containsSemiMixedTypes="0" containsDate="1" containsString="0">
        <d v="2025-01-01T00:00:00Z"/>
        <d v="2025-01-04T00:00:00Z"/>
        <d v="2025-01-05T00:00:00Z"/>
        <d v="2025-01-06T00:00:00Z"/>
        <d v="2025-01-09T00:00:00Z"/>
        <d v="2025-01-10T00:00:00Z"/>
        <d v="2025-01-11T00:00:00Z"/>
        <d v="2025-01-12T00:00:00Z"/>
        <d v="2025-01-13T00:00:00Z"/>
        <d v="2025-01-15T00:00:00Z"/>
        <d v="2025-01-16T00:00:00Z"/>
        <d v="2025-01-17T00:00:00Z"/>
        <d v="2025-01-22T00:00:00Z"/>
        <d v="2025-01-23T00:00:00Z"/>
        <d v="2025-01-24T00:00:00Z"/>
        <d v="2025-01-25T00:00:00Z"/>
        <d v="2025-01-27T00:00:00Z"/>
        <d v="2025-01-28T00:00:00Z"/>
        <d v="2025-01-29T00:00:00Z"/>
        <d v="2025-01-30T00:00:00Z"/>
        <d v="2025-01-31T00:00:00Z"/>
        <d v="2025-02-01T00:00:00Z"/>
        <d v="2025-02-02T00:00:00Z"/>
        <d v="2025-02-04T00:00:00Z"/>
        <d v="2025-02-05T00:00:00Z"/>
        <d v="2025-02-07T00:00:00Z"/>
        <d v="2025-02-08T00:00:00Z"/>
        <d v="2025-02-10T00:00:00Z"/>
        <d v="2025-02-13T00:00:00Z"/>
        <d v="2025-02-15T00:00:00Z"/>
        <d v="2025-02-16T00:00:00Z"/>
        <d v="2025-02-17T00:00:00Z"/>
        <d v="2025-02-20T00:00:00Z"/>
        <d v="2025-02-21T00:00:00Z"/>
        <d v="2025-02-23T00:00:00Z"/>
        <d v="2025-02-24T00:00:00Z"/>
        <d v="2025-02-25T00:00:00Z"/>
        <d v="2025-02-26T00:00:00Z"/>
        <d v="2025-03-01T00:00:00Z"/>
        <d v="2025-03-02T00:00:00Z"/>
        <d v="2025-03-05T00:00:00Z"/>
        <d v="2025-03-07T00:00:00Z"/>
        <d v="2025-03-08T00:00:00Z"/>
        <d v="2025-03-09T00:00:00Z"/>
        <d v="2025-03-10T00:00:00Z"/>
        <d v="2025-03-11T00:00:00Z"/>
        <d v="2025-03-12T00:00:00Z"/>
        <d v="2025-03-15T00:00:00Z"/>
        <d v="2025-03-18T00:00:00Z"/>
        <d v="2025-03-20T00:00:00Z"/>
        <d v="2025-03-22T00:00:00Z"/>
        <d v="2025-03-23T00:00:00Z"/>
        <d v="2025-03-25T00:00:00Z"/>
        <d v="2025-03-26T00:00:00Z"/>
        <d v="2025-03-27T00:00:00Z"/>
        <d v="2025-03-29T00:00:00Z"/>
        <d v="2025-03-30T00:00:00Z"/>
        <d v="2025-03-31T00:00:00Z"/>
        <d v="2025-04-01T00:00:00Z"/>
        <d v="2025-04-02T00:00:00Z"/>
        <d v="2025-04-03T00:00:00Z"/>
        <d v="2025-04-04T00:00:00Z"/>
        <d v="2025-04-06T00:00:00Z"/>
        <d v="2025-04-07T00:00:00Z"/>
        <d v="2025-04-08T00:00:00Z"/>
        <d v="2025-04-10T00:00:00Z"/>
        <d v="2025-04-12T00:00:00Z"/>
        <d v="2025-04-13T00:00:00Z"/>
        <d v="2025-04-16T00:00:00Z"/>
        <d v="2025-04-17T00:00:00Z"/>
        <d v="2025-04-18T00:00:00Z"/>
        <d v="2025-04-19T00:00:00Z"/>
        <d v="2025-04-21T00:00:00Z"/>
        <d v="2025-04-23T00:00:00Z"/>
        <d v="2025-04-24T00:00:00Z"/>
        <d v="2025-04-25T00:00:00Z"/>
        <d v="2025-04-26T00:00:00Z"/>
        <d v="2025-04-28T00:00:00Z"/>
        <d v="2025-04-29T00:00:00Z"/>
        <d v="2025-04-30T00:00:00Z"/>
        <d v="2025-05-01T00:00:00Z"/>
        <d v="2025-05-04T00:00:00Z"/>
        <d v="2025-05-06T00:00:00Z"/>
        <d v="2025-05-07T00:00:00Z"/>
        <d v="2025-05-08T00:00:00Z"/>
        <d v="2025-05-09T00:00:00Z"/>
        <d v="2025-05-11T00:00:00Z"/>
        <d v="2025-05-13T00:00:00Z"/>
        <d v="2025-05-14T00:00:00Z"/>
        <d v="2025-05-15T00:00:00Z"/>
        <d v="2025-05-16T00:00:00Z"/>
        <d v="2025-05-17T00:00:00Z"/>
        <d v="2025-05-18T00:00:00Z"/>
        <d v="2025-05-19T00:00:00Z"/>
        <d v="2025-05-20T00:00:00Z"/>
        <d v="2025-05-23T00:00:00Z"/>
        <d v="2025-05-24T00:00:00Z"/>
        <d v="2025-05-27T00:00:00Z"/>
        <d v="2025-05-29T00:00:00Z"/>
        <d v="2025-05-30T00:00:00Z"/>
        <d v="2025-05-31T00:00:00Z"/>
        <d v="2025-06-02T00:00:00Z"/>
        <d v="2025-06-03T00:00:00Z"/>
        <d v="2025-06-04T00:00:00Z"/>
        <d v="2025-06-05T00:00:00Z"/>
        <d v="2025-06-06T00:00:00Z"/>
        <d v="2025-06-08T00:00:00Z"/>
        <d v="2025-06-10T00:00:00Z"/>
        <d v="2025-06-11T00:00:00Z"/>
        <d v="2025-06-13T00:00:00Z"/>
        <d v="2025-06-14T00:00:00Z"/>
        <d v="2025-06-16T00:00:00Z"/>
        <d v="2025-06-17T00:00:00Z"/>
        <d v="2025-06-19T00:00:00Z"/>
        <d v="2025-06-20T00:00:00Z"/>
        <d v="2025-06-21T00:00:00Z"/>
        <d v="2025-06-22T00:00:00Z"/>
        <d v="2025-06-23T00:00:00Z"/>
        <d v="2025-06-24T00:00:00Z"/>
        <d v="2025-06-25T00:00:00Z"/>
        <d v="2025-06-26T00:00:00Z"/>
        <d v="2025-06-27T00:00:00Z"/>
        <d v="2025-06-28T00:00:00Z"/>
        <d v="2025-06-30T00:00:00Z"/>
        <d v="2025-07-01T00:00:00Z"/>
        <d v="2025-07-03T00:00:00Z"/>
        <d v="2025-07-04T00:00:00Z"/>
        <d v="2025-07-06T00:00:00Z"/>
        <d v="2025-07-07T00:00:00Z"/>
        <d v="2025-07-08T00:00:00Z"/>
        <d v="2025-07-09T00:00:00Z"/>
        <d v="2025-07-10T00:00:00Z"/>
        <d v="2025-07-11T00:00:00Z"/>
        <d v="2025-07-13T00:00:00Z"/>
        <d v="2025-07-14T00:00:00Z"/>
        <d v="2025-07-15T00:00:00Z"/>
        <d v="2025-07-16T00:00:00Z"/>
        <d v="2025-07-18T00:00:00Z"/>
        <d v="2025-07-19T00:00:00Z"/>
        <d v="2025-07-21T00:00:00Z"/>
        <d v="2025-07-22T00:00:00Z"/>
        <d v="2025-07-23T00:00:00Z"/>
        <d v="2025-07-25T00:00:00Z"/>
        <d v="2025-07-29T00:00:00Z"/>
        <d v="2025-07-31T00:00:00Z"/>
        <d v="2025-08-02T00:00:00Z"/>
        <d v="2025-08-05T00:00:00Z"/>
        <d v="2025-08-09T00:00:00Z"/>
        <d v="2025-08-11T00:00:00Z"/>
        <d v="2025-08-13T00:00:00Z"/>
        <d v="2025-08-14T00:00:00Z"/>
        <d v="2025-08-16T00:00:00Z"/>
        <d v="2025-08-17T00:00:00Z"/>
        <d v="2025-08-18T00:00:00Z"/>
        <d v="2025-08-19T00:00:00Z"/>
        <d v="2025-08-20T00:00:00Z"/>
        <d v="2025-08-21T00:00:00Z"/>
        <d v="2025-08-22T00:00:00Z"/>
        <d v="2025-08-23T00:00:00Z"/>
        <d v="2025-08-25T00:00:00Z"/>
        <d v="2025-08-26T00:00:00Z"/>
        <d v="2025-08-27T00:00:00Z"/>
        <d v="2025-08-29T00:00:00Z"/>
        <d v="2025-08-30T00:00:00Z"/>
        <d v="2025-09-01T00:00:00Z"/>
        <d v="2025-09-03T00:00:00Z"/>
        <d v="2025-09-05T00:00:00Z"/>
        <d v="2025-09-07T00:00:00Z"/>
        <d v="2025-09-09T00:00:00Z"/>
        <d v="2025-09-10T00:00:00Z"/>
        <d v="2025-09-13T00:00:00Z"/>
        <d v="2025-09-14T00:00:00Z"/>
        <d v="2025-09-16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9T00:00:00Z"/>
        <d v="2025-10-10T00:00:00Z"/>
        <d v="2025-10-11T00:00:00Z"/>
        <d v="2025-10-12T00:00:00Z"/>
        <d v="2025-10-13T00:00:00Z"/>
        <d v="2025-10-15T00:00:00Z"/>
        <d v="2025-10-16T00:00:00Z"/>
        <d v="2025-10-17T00:00:00Z"/>
        <d v="2025-10-19T00:00:00Z"/>
        <d v="2025-10-20T00:00:00Z"/>
        <d v="2025-10-21T00:00:00Z"/>
        <d v="2025-10-22T00:00:00Z"/>
        <d v="2025-10-24T00:00:00Z"/>
        <d v="2025-10-25T00:00:00Z"/>
        <d v="2025-10-26T00:00:00Z"/>
        <d v="2025-10-27T00:00:00Z"/>
        <d v="2025-10-28T00:00:00Z"/>
        <d v="2025-10-29T00:00:00Z"/>
        <d v="2025-11-01T00:00:00Z"/>
        <d v="2025-11-02T00:00:00Z"/>
        <d v="2025-11-03T00:00:00Z"/>
        <d v="2025-11-04T00:00:00Z"/>
        <d v="2025-11-05T00:00:00Z"/>
        <d v="2025-11-06T00:00:00Z"/>
        <d v="2025-11-07T00:00:00Z"/>
        <d v="2025-11-08T00:00:00Z"/>
        <d v="2025-11-11T00:00:00Z"/>
        <d v="2025-11-12T00:00:00Z"/>
        <d v="2025-11-13T00:00:00Z"/>
        <d v="2025-11-14T00:00:00Z"/>
        <d v="2025-11-15T00:00:00Z"/>
        <d v="2025-11-18T00:00:00Z"/>
        <d v="2025-11-19T00:00:00Z"/>
        <d v="2025-11-20T00:00:00Z"/>
        <d v="2025-11-21T00:00:00Z"/>
        <d v="2025-11-22T00:00:00Z"/>
        <d v="2025-11-23T00:00:00Z"/>
        <d v="2025-11-24T00:00:00Z"/>
        <d v="2025-11-25T00:00:00Z"/>
        <d v="2025-11-27T00:00:00Z"/>
        <d v="2025-11-29T00:00:00Z"/>
        <d v="2025-11-30T00:00:00Z"/>
        <d v="2025-12-01T00:00:00Z"/>
        <d v="2025-12-02T00:00:00Z"/>
        <d v="2025-12-03T00:00:00Z"/>
        <d v="2025-12-05T00:00:00Z"/>
        <d v="2025-12-06T00:00:00Z"/>
        <d v="2025-12-07T00:00:00Z"/>
        <d v="2025-12-08T00:00:00Z"/>
        <d v="2025-12-09T00:00:00Z"/>
        <d v="2025-12-10T00:00:00Z"/>
        <d v="2025-12-12T00:00:00Z"/>
        <d v="2025-12-13T00:00:00Z"/>
        <d v="2025-12-14T00:00:00Z"/>
        <d v="2025-12-16T00:00:00Z"/>
        <d v="2025-12-17T00:00:00Z"/>
        <d v="2025-12-18T00:00:00Z"/>
        <d v="2025-12-20T00:00:00Z"/>
        <d v="2025-12-21T00:00:00Z"/>
        <d v="2025-12-23T00:00:00Z"/>
        <d v="2025-12-24T00:00:00Z"/>
        <d v="2025-12-25T00:00:00Z"/>
        <d v="2025-12-26T00:00:00Z"/>
        <d v="2025-12-27T00:00:00Z"/>
        <d v="2025-12-29T00:00:00Z"/>
        <d v="2025-12-30T00:00:00Z"/>
      </sharedItems>
    </cacheField>
    <cacheField name="City" numFmtId="0">
      <sharedItems>
        <s v="Patna"/>
        <s v="Kochi"/>
        <s v="Kolkata"/>
        <s v="Chandigarh"/>
        <s v="Surat"/>
        <s v="Bengaluru"/>
        <s v="Bhubaneswar"/>
        <s v="Mumbai"/>
        <s v="Pune"/>
        <s v="Guwahati"/>
        <s v="Hyderabad"/>
        <s v="Chennai"/>
        <s v="Lucknow"/>
        <s v="Gurugram"/>
        <s v="Delhi"/>
        <s v="Ahmedabad"/>
      </sharedItems>
    </cacheField>
    <cacheField name="Region" numFmtId="0">
      <sharedItems>
        <s v="North"/>
        <s v="South"/>
        <s v="East"/>
        <s v="West"/>
      </sharedItems>
    </cacheField>
    <cacheField name="Category" numFmtId="0">
      <sharedItems>
        <s v="Groceries"/>
        <s v="Home &amp; Kitchen"/>
        <s v="Apparel"/>
        <s v="Personal Care"/>
        <s v="Electronics"/>
      </sharedItems>
    </cacheField>
    <cacheField name="Product" numFmtId="0">
      <sharedItems>
        <s v="Storage Container Set"/>
        <s v="Denim Jeans"/>
        <s v="Formal Shirt"/>
        <s v="Face Wash"/>
        <s v="Steel Dinner Set"/>
        <s v="Water Bottle 1L"/>
        <s v="Sugar 1kg"/>
        <s v="Mustard Oil 1L"/>
        <s v="Women Saree"/>
        <s v="Mixer Grinder"/>
        <s v="Shampoo 200ml"/>
        <s v="Soap Pack of 4"/>
        <s v="Toothpaste 200g"/>
        <s v="Hair Oil 200ml"/>
        <s v="Bluetooth Speaker"/>
        <s v="LED TV 32in"/>
        <s v="Non-stick Tawa"/>
        <s v="Tea Powder 500g"/>
        <s v="Kids T-Shirt"/>
        <s v="Cotton Dupatta"/>
        <s v="Toor Dal 1kg"/>
        <s v="Ceiling Fan"/>
        <s v="Men Kurta"/>
        <s v="Bedsheet Set"/>
        <s v="Basmati Rice 5kg"/>
        <s v="Iron Box"/>
        <s v="Pressure Cooker"/>
        <s v="Atta 10kg"/>
      </sharedItems>
    </cacheField>
    <cacheField name="Qty Sold" numFmtId="0">
      <sharedItems containsSemiMixedTypes="0" containsString="0" containsNumber="1" containsInteger="1">
        <n v="6.0"/>
        <n v="14.0"/>
        <n v="7.0"/>
        <n v="15.0"/>
        <n v="13.0"/>
        <n v="1.0"/>
        <n v="10.0"/>
        <n v="4.0"/>
        <n v="8.0"/>
        <n v="11.0"/>
        <n v="12.0"/>
        <n v="2.0"/>
        <n v="9.0"/>
        <n v="3.0"/>
        <n v="5.0"/>
      </sharedItems>
    </cacheField>
    <cacheField name="Unit Price (Rs)" numFmtId="3">
      <sharedItems containsSemiMixedTypes="0" containsString="0" containsNumber="1" containsInteger="1">
        <n v="1138.0"/>
        <n v="1829.0"/>
        <n v="984.0"/>
        <n v="266.0"/>
        <n v="932.0"/>
        <n v="1962.0"/>
        <n v="184.0"/>
        <n v="559.0"/>
        <n v="1294.0"/>
        <n v="5520.0"/>
        <n v="442.0"/>
        <n v="496.0"/>
        <n v="158.0"/>
        <n v="625.0"/>
        <n v="511.0"/>
        <n v="112.0"/>
        <n v="427.0"/>
        <n v="2231.0"/>
        <n v="1212.0"/>
        <n v="321.0"/>
        <n v="124.0"/>
        <n v="503.0"/>
        <n v="213.0"/>
        <n v="3129.0"/>
        <n v="364.0"/>
        <n v="6646.0"/>
        <n v="2380.0"/>
        <n v="371.0"/>
        <n v="126.0"/>
        <n v="1742.0"/>
        <n v="2245.0"/>
        <n v="326.0"/>
        <n v="500.0"/>
        <n v="1234.0"/>
        <n v="169.0"/>
        <n v="99.0"/>
        <n v="1691.0"/>
        <n v="95.0"/>
        <n v="1902.0"/>
        <n v="1765.0"/>
        <n v="1894.0"/>
        <n v="390.0"/>
        <n v="1352.0"/>
        <n v="977.0"/>
        <n v="199.0"/>
        <n v="1233.0"/>
        <n v="2186.0"/>
        <n v="1057.0"/>
        <n v="539.0"/>
        <n v="631.0"/>
        <n v="513.0"/>
        <n v="1422.0"/>
        <n v="1432.0"/>
        <n v="642.0"/>
        <n v="1195.0"/>
        <n v="276.0"/>
        <n v="1434.0"/>
        <n v="787.0"/>
        <n v="338.0"/>
        <n v="261.0"/>
        <n v="4149.0"/>
        <n v="233.0"/>
        <n v="127.0"/>
        <n v="523.0"/>
        <n v="446.0"/>
        <n v="274.0"/>
        <n v="873.0"/>
        <n v="192.0"/>
        <n v="79.0"/>
        <n v="267.0"/>
        <n v="239.0"/>
        <n v="463.0"/>
        <n v="310.0"/>
        <n v="566.0"/>
        <n v="560.0"/>
        <n v="316.0"/>
        <n v="5945.0"/>
        <n v="223.0"/>
        <n v="583.0"/>
        <n v="238.0"/>
        <n v="2241.0"/>
        <n v="1103.0"/>
        <n v="1897.0"/>
        <n v="989.0"/>
        <n v="515.0"/>
        <n v="299.0"/>
        <n v="7816.0"/>
        <n v="828.0"/>
        <n v="2213.0"/>
        <n v="1150.0"/>
        <n v="2174.0"/>
        <n v="1788.0"/>
        <n v="592.0"/>
        <n v="2473.0"/>
        <n v="3688.0"/>
        <n v="588.0"/>
        <n v="372.0"/>
        <n v="596.0"/>
        <n v="770.0"/>
        <n v="115.0"/>
        <n v="240.0"/>
        <n v="4689.0"/>
        <n v="509.0"/>
        <n v="962.0"/>
        <n v="347.0"/>
        <n v="1804.0"/>
        <n v="391.0"/>
        <n v="548.0"/>
        <n v="1410.0"/>
        <n v="6496.0"/>
        <n v="696.0"/>
        <n v="264.0"/>
        <n v="413.0"/>
        <n v="3814.0"/>
        <n v="745.0"/>
        <n v="407.0"/>
        <n v="4776.0"/>
        <n v="433.0"/>
        <n v="209.0"/>
        <n v="5507.0"/>
        <n v="1347.0"/>
        <n v="656.0"/>
        <n v="416.0"/>
        <n v="1637.0"/>
        <n v="373.0"/>
        <n v="154.0"/>
        <n v="7751.0"/>
        <n v="1638.0"/>
        <n v="1548.0"/>
        <n v="203.0"/>
        <n v="1369.0"/>
        <n v="301.0"/>
        <n v="200.0"/>
        <n v="146.0"/>
        <n v="123.0"/>
        <n v="190.0"/>
        <n v="1058.0"/>
        <n v="540.0"/>
        <n v="1857.0"/>
        <n v="234.0"/>
        <n v="252.0"/>
        <n v="7008.0"/>
        <n v="224.0"/>
        <n v="443.0"/>
        <n v="1292.0"/>
        <n v="344.0"/>
        <n v="2192.0"/>
        <n v="930.0"/>
        <n v="1416.0"/>
        <n v="5940.0"/>
        <n v="1204.0"/>
        <n v="397.0"/>
        <n v="288.0"/>
        <n v="647.0"/>
        <n v="573.0"/>
        <n v="243.0"/>
        <n v="916.0"/>
        <n v="765.0"/>
        <n v="1481.0"/>
        <n v="1370.0"/>
        <n v="634.0"/>
        <n v="485.0"/>
        <n v="7012.0"/>
        <n v="2855.0"/>
        <n v="1530.0"/>
        <n v="242.0"/>
        <n v="422.0"/>
        <n v="436.0"/>
        <n v="517.0"/>
        <n v="5763.0"/>
        <n v="620.0"/>
        <n v="486.0"/>
        <n v="155.0"/>
        <n v="507.0"/>
        <n v="1744.0"/>
        <n v="541.0"/>
        <n v="859.0"/>
        <n v="339.0"/>
        <n v="1608.0"/>
        <n v="606.0"/>
        <n v="425.0"/>
        <n v="403.0"/>
        <n v="2345.0"/>
        <n v="870.0"/>
        <n v="4800.0"/>
        <n v="846.0"/>
        <n v="1913.0"/>
        <n v="7631.0"/>
        <n v="361.0"/>
        <n v="3855.0"/>
        <n v="6046.0"/>
        <n v="2353.0"/>
        <n v="7504.0"/>
        <n v="106.0"/>
        <n v="724.0"/>
        <n v="289.0"/>
        <n v="73.0"/>
        <n v="1885.0"/>
        <n v="225.0"/>
        <n v="545.0"/>
        <n v="182.0"/>
        <n v="404.0"/>
        <n v="6394.0"/>
        <n v="250.0"/>
        <n v="1447.0"/>
        <n v="2159.0"/>
        <n v="6155.0"/>
        <n v="1870.0"/>
        <n v="68.0"/>
        <n v="86.0"/>
        <n v="637.0"/>
        <n v="110.0"/>
        <n v="342.0"/>
        <n v="5182.0"/>
        <n v="387.0"/>
        <n v="3152.0"/>
        <n v="474.0"/>
        <n v="2223.0"/>
        <n v="1552.0"/>
        <n v="211.0"/>
        <n v="1209.0"/>
        <n v="1298.0"/>
        <n v="412.0"/>
        <n v="170.0"/>
        <n v="336.0"/>
        <n v="604.0"/>
        <n v="574.0"/>
        <n v="4935.0"/>
        <n v="3644.0"/>
        <n v="4252.0"/>
        <n v="2978.0"/>
        <n v="4011.0"/>
        <n v="6969.0"/>
        <n v="358.0"/>
        <n v="432.0"/>
        <n v="4998.0"/>
        <n v="1648.0"/>
        <n v="151.0"/>
        <n v="734.0"/>
        <n v="441.0"/>
        <n v="5360.0"/>
        <n v="163.0"/>
        <n v="4562.0"/>
        <n v="552.0"/>
        <n v="2425.0"/>
        <n v="878.0"/>
        <n v="445.0"/>
        <n v="423.0"/>
        <n v="3348.0"/>
        <n v="1314.0"/>
        <n v="400.0"/>
        <n v="1241.0"/>
        <n v="1496.0"/>
        <n v="359.0"/>
        <n v="303.0"/>
        <n v="4355.0"/>
        <n v="450.0"/>
        <n v="363.0"/>
        <n v="118.0"/>
        <n v="689.0"/>
        <n v="320.0"/>
        <n v="439.0"/>
        <n v="1403.0"/>
        <n v="1494.0"/>
        <n v="635.0"/>
        <n v="1083.0"/>
        <n v="958.0"/>
        <n v="619.0"/>
        <n v="514.0"/>
        <n v="449.0"/>
        <n v="283.0"/>
        <n v="1280.0"/>
        <n v="1125.0"/>
        <n v="461.0"/>
        <n v="217.0"/>
        <n v="1678.0"/>
        <n v="401.0"/>
        <n v="5125.0"/>
        <n v="1356.0"/>
        <n v="271.0"/>
        <n v="7578.0"/>
        <n v="1027.0"/>
        <n v="1291.0"/>
        <n v="219.0"/>
        <n v="107.0"/>
        <n v="374.0"/>
        <n v="1159.0"/>
        <n v="2170.0"/>
        <n v="8433.0"/>
        <n v="1317.0"/>
        <n v="6094.0"/>
        <n v="715.0"/>
        <n v="302.0"/>
        <n v="1179.0"/>
        <n v="292.0"/>
        <n v="5403.0"/>
        <n v="277.0"/>
        <n v="6584.0"/>
        <n v="1624.0"/>
        <n v="703.0"/>
        <n v="1132.0"/>
        <n v="295.0"/>
        <n v="210.0"/>
        <n v="428.0"/>
        <n v="1647.0"/>
        <n v="280.0"/>
        <n v="1331.0"/>
        <n v="2207.0"/>
        <n v="6255.0"/>
        <n v="167.0"/>
        <n v="1393.0"/>
        <n v="663.0"/>
        <n v="447.0"/>
        <n v="294.0"/>
        <n v="7802.0"/>
        <n v="2056.0"/>
        <n v="3083.0"/>
        <n v="652.0"/>
        <n v="180.0"/>
        <n v="196.0"/>
        <n v="3342.0"/>
        <n v="102.0"/>
        <n v="5642.0"/>
        <n v="1540.0"/>
        <n v="177.0"/>
        <n v="615.0"/>
        <n v="120.0"/>
        <n v="1112.0"/>
        <n v="3455.0"/>
        <n v="1801.0"/>
        <n v="1013.0"/>
        <n v="1221.0"/>
        <n v="5570.0"/>
        <n v="1449.0"/>
        <n v="459.0"/>
        <n v="705.0"/>
        <n v="1085.0"/>
        <n v="1854.0"/>
        <n v="279.0"/>
        <n v="160.0"/>
        <n v="4522.0"/>
        <n v="1597.0"/>
        <n v="1859.0"/>
        <n v="1266.0"/>
        <n v="369.0"/>
        <n v="2480.0"/>
        <n v="565.0"/>
        <n v="458.0"/>
        <n v="483.0"/>
        <n v="370.0"/>
        <n v="613.0"/>
        <n v="2491.0"/>
        <n v="92.0"/>
        <n v="137.0"/>
        <n v="799.0"/>
        <n v="536.0"/>
        <n v="1385.0"/>
        <n v="7080.0"/>
        <n v="7686.0"/>
        <n v="191.0"/>
        <n v="3792.0"/>
        <n v="602.0"/>
        <n v="437.0"/>
        <n v="8486.0"/>
        <n v="66.0"/>
        <n v="236.0"/>
        <n v="2890.0"/>
        <n v="1217.0"/>
        <n v="3247.0"/>
        <n v="173.0"/>
        <n v="1490.0"/>
        <n v="465.0"/>
        <n v="1199.0"/>
        <n v="3098.0"/>
        <n v="255.0"/>
        <n v="365.0"/>
        <n v="4330.0"/>
        <n v="1776.0"/>
        <n v="1690.0"/>
        <n v="476.0"/>
        <n v="557.0"/>
        <n v="231.0"/>
      </sharedItems>
    </cacheField>
    <cacheField name="Gross Amount (Rs)" numFmtId="3">
      <sharedItems containsSemiMixedTypes="0" containsString="0" containsNumber="1" containsInteger="1">
        <n v="6828.0"/>
        <n v="25606.0"/>
        <n v="6888.0"/>
        <n v="3990.0"/>
        <n v="12116.0"/>
        <n v="1962.0"/>
        <n v="184.0"/>
        <n v="5590.0"/>
        <n v="5176.0"/>
        <n v="44160.0"/>
        <n v="4862.0"/>
        <n v="6448.0"/>
        <n v="1896.0"/>
        <n v="8125.0"/>
        <n v="1022.0"/>
        <n v="1344.0"/>
        <n v="854.0"/>
        <n v="33465.0"/>
        <n v="8484.0"/>
        <n v="4815.0"/>
        <n v="868.0"/>
        <n v="3018.0"/>
        <n v="1278.0"/>
        <n v="3129.0"/>
        <n v="728.0"/>
        <n v="6646.0"/>
        <n v="4760.0"/>
        <n v="3339.0"/>
        <n v="126.0"/>
        <n v="15678.0"/>
        <n v="17960.0"/>
        <n v="2282.0"/>
        <n v="6000.0"/>
        <n v="7404.0"/>
        <n v="1690.0"/>
        <n v="736.0"/>
        <n v="99.0"/>
        <n v="3382.0"/>
        <n v="1140.0"/>
        <n v="5706.0"/>
        <n v="3530.0"/>
        <n v="11364.0"/>
        <n v="3510.0"/>
        <n v="2704.0"/>
        <n v="11724.0"/>
        <n v="1592.0"/>
        <n v="2466.0"/>
        <n v="24046.0"/>
        <n v="11627.0"/>
        <n v="1617.0"/>
        <n v="1893.0"/>
        <n v="6156.0"/>
        <n v="19908.0"/>
        <n v="21480.0"/>
        <n v="2568.0"/>
        <n v="2390.0"/>
        <n v="1380.0"/>
        <n v="14340.0"/>
        <n v="787.0"/>
        <n v="3654.0"/>
        <n v="41490.0"/>
        <n v="466.0"/>
        <n v="2796.0"/>
        <n v="127.0"/>
        <n v="5230.0"/>
        <n v="5798.0"/>
        <n v="2740.0"/>
        <n v="12222.0"/>
        <n v="2112.0"/>
        <n v="553.0"/>
        <n v="1602.0"/>
        <n v="1195.0"/>
        <n v="3704.0"/>
        <n v="2480.0"/>
        <n v="7924.0"/>
        <n v="5040.0"/>
        <n v="4740.0"/>
        <n v="4417.0"/>
        <n v="53505.0"/>
        <n v="1561.0"/>
        <n v="2332.0"/>
        <n v="2618.0"/>
        <n v="8964.0"/>
        <n v="13236.0"/>
        <n v="17073.0"/>
        <n v="2967.0"/>
        <n v="515.0"/>
        <n v="3588.0"/>
        <n v="93792.0"/>
        <n v="6624.0"/>
        <n v="882.0"/>
        <n v="33195.0"/>
        <n v="11500.0"/>
        <n v="2174.0"/>
        <n v="17880.0"/>
        <n v="3552.0"/>
        <n v="34622.0"/>
        <n v="47944.0"/>
        <n v="7644.0"/>
        <n v="1860.0"/>
        <n v="4768.0"/>
        <n v="9240.0"/>
        <n v="920.0"/>
        <n v="2160.0"/>
        <n v="14067.0"/>
        <n v="7126.0"/>
        <n v="8658.0"/>
        <n v="4858.0"/>
        <n v="12628.0"/>
        <n v="391.0"/>
        <n v="3288.0"/>
        <n v="4230.0"/>
        <n v="45472.0"/>
        <n v="6960.0"/>
        <n v="1848.0"/>
        <n v="3717.0"/>
        <n v="45768.0"/>
        <n v="745.0"/>
        <n v="407.0"/>
        <n v="52536.0"/>
        <n v="5196.0"/>
        <n v="2299.0"/>
        <n v="82605.0"/>
        <n v="6735.0"/>
        <n v="5248.0"/>
        <n v="3744.0"/>
        <n v="8185.0"/>
        <n v="2984.0"/>
        <n v="1540.0"/>
        <n v="31004.0"/>
        <n v="13104.0"/>
        <n v="6192.0"/>
        <n v="3045.0"/>
        <n v="15059.0"/>
        <n v="3913.0"/>
        <n v="3000.0"/>
        <n v="2044.0"/>
        <n v="1107.0"/>
        <n v="2280.0"/>
        <n v="2116.0"/>
        <n v="6480.0"/>
        <n v="14856.0"/>
        <n v="468.0"/>
        <n v="1512.0"/>
        <n v="49056.0"/>
        <n v="1568.0"/>
        <n v="886.0"/>
        <n v="11628.0"/>
        <n v="3440.0"/>
        <n v="13152.0"/>
        <n v="10230.0"/>
        <n v="21240.0"/>
        <n v="47520.0"/>
        <n v="2408.0"/>
        <n v="1191.0"/>
        <n v="4320.0"/>
        <n v="1294.0"/>
        <n v="4584.0"/>
        <n v="1106.0"/>
        <n v="486.0"/>
        <n v="6412.0"/>
        <n v="10710.0"/>
        <n v="8886.0"/>
        <n v="6850.0"/>
        <n v="5072.0"/>
        <n v="5335.0"/>
        <n v="35060.0"/>
        <n v="34260.0"/>
        <n v="4590.0"/>
        <n v="1452.0"/>
        <n v="3376.0"/>
        <n v="4796.0"/>
        <n v="16730.0"/>
        <n v="3619.0"/>
        <n v="57630.0"/>
        <n v="3888.0"/>
        <n v="2015.0"/>
        <n v="2028.0"/>
        <n v="20928.0"/>
        <n v="3246.0"/>
        <n v="859.0"/>
        <n v="3051.0"/>
        <n v="4824.0"/>
        <n v="3030.0"/>
        <n v="3168.0"/>
        <n v="5100.0"/>
        <n v="3224.0"/>
        <n v="2345.0"/>
        <n v="38400.0"/>
        <n v="9306.0"/>
        <n v="17217.0"/>
        <n v="114465.0"/>
        <n v="4693.0"/>
        <n v="23130.0"/>
        <n v="30230.0"/>
        <n v="7059.0"/>
        <n v="75040.0"/>
        <n v="848.0"/>
        <n v="724.0"/>
        <n v="3179.0"/>
        <n v="365.0"/>
        <n v="15080.0"/>
        <n v="3375.0"/>
        <n v="3270.0"/>
        <n v="910.0"/>
        <n v="2020.0"/>
        <n v="12788.0"/>
        <n v="1000.0"/>
        <n v="5788.0"/>
        <n v="21590.0"/>
        <n v="80015.0"/>
        <n v="28050.0"/>
        <n v="680.0"/>
        <n v="1118.0"/>
        <n v="1274.0"/>
        <n v="660.0"/>
        <n v="4446.0"/>
        <n v="5182.0"/>
        <n v="3870.0"/>
        <n v="12608.0"/>
        <n v="5688.0"/>
        <n v="11115.0"/>
        <n v="18624.0"/>
        <n v="1477.0"/>
        <n v="2418.0"/>
        <n v="12980.0"/>
        <n v="4944.0"/>
        <n v="2380.0"/>
        <n v="1680.0"/>
        <n v="9060.0"/>
        <n v="4935.0"/>
        <n v="21864.0"/>
        <n v="4412.0"/>
        <n v="17008.0"/>
        <n v="26802.0"/>
        <n v="24066.0"/>
        <n v="27876.0"/>
        <n v="1432.0"/>
        <n v="4752.0"/>
        <n v="44982.0"/>
        <n v="14832.0"/>
        <n v="1812.0"/>
        <n v="9542.0"/>
        <n v="4851.0"/>
        <n v="10720.0"/>
        <n v="326.0"/>
        <n v="36496.0"/>
        <n v="21825.0"/>
        <n v="3512.0"/>
        <n v="5340.0"/>
        <n v="5499.0"/>
        <n v="33480.0"/>
        <n v="14454.0"/>
        <n v="13651.0"/>
        <n v="5984.0"/>
        <n v="3231.0"/>
        <n v="3333.0"/>
        <n v="56615.0"/>
        <n v="6750.0"/>
        <n v="2178.0"/>
        <n v="354.0"/>
        <n v="6890.0"/>
        <n v="960.0"/>
        <n v="1317.0"/>
        <n v="19642.0"/>
        <n v="16434.0"/>
        <n v="2325.0"/>
        <n v="9525.0"/>
        <n v="3249.0"/>
        <n v="12454.0"/>
        <n v="8047.0"/>
        <n v="4626.0"/>
        <n v="1347.0"/>
        <n v="849.0"/>
        <n v="8960.0"/>
        <n v="9000.0"/>
        <n v="1383.0"/>
        <n v="3570.0"/>
        <n v="2387.0"/>
        <n v="1651.0"/>
        <n v="8390.0"/>
        <n v="14212.0"/>
        <n v="1604.0"/>
        <n v="66625.0"/>
        <n v="1356.0"/>
        <n v="813.0"/>
        <n v="75780.0"/>
        <n v="2054.0"/>
        <n v="11256.0"/>
        <n v="14201.0"/>
        <n v="1752.0"/>
        <n v="107.0"/>
        <n v="374.0"/>
        <n v="10431.0"/>
        <n v="17360.0"/>
        <n v="126495.0"/>
        <n v="7902.0"/>
        <n v="42658.0"/>
        <n v="3575.0"/>
        <n v="2114.0"/>
        <n v="3537.0"/>
        <n v="3504.0"/>
        <n v="54030.0"/>
        <n v="3047.0"/>
        <n v="26336.0"/>
        <n v="7042.0"/>
        <n v="1436.0"/>
        <n v="3248.0"/>
        <n v="1406.0"/>
        <n v="11320.0"/>
        <n v="295.0"/>
        <n v="2940.0"/>
        <n v="6420.0"/>
        <n v="14823.0"/>
        <n v="4200.0"/>
        <n v="6655.0"/>
        <n v="30898.0"/>
        <n v="68805.0"/>
        <n v="2338.0"/>
        <n v="16716.0"/>
        <n v="4641.0"/>
        <n v="4470.0"/>
        <n v="11310.0"/>
        <n v="2352.0"/>
        <n v="78020.0"/>
        <n v="10280.0"/>
        <n v="12332.0"/>
        <n v="9128.0"/>
        <n v="540.0"/>
        <n v="1764.0"/>
        <n v="46788.0"/>
        <n v="510.0"/>
        <n v="11284.0"/>
        <n v="4032.0"/>
        <n v="3920.0"/>
        <n v="20020.0"/>
        <n v="1770.0"/>
        <n v="6150.0"/>
        <n v="4448.0"/>
        <n v="6910.0"/>
        <n v="27015.0"/>
        <n v="1712.0"/>
        <n v="15195.0"/>
        <n v="13431.0"/>
        <n v="72410.0"/>
        <n v="11592.0"/>
        <n v="6885.0"/>
        <n v="9165.0"/>
        <n v="8680.0"/>
        <n v="2790.0"/>
        <n v="1600.0"/>
        <n v="9044.0"/>
        <n v="20761.0"/>
        <n v="1859.0"/>
        <n v="8862.0"/>
        <n v="3321.0"/>
        <n v="16836.0"/>
        <n v="7440.0"/>
        <n v="3720.0"/>
        <n v="4520.0"/>
        <n v="3206.0"/>
        <n v="5313.0"/>
        <n v="1850.0"/>
        <n v="5136.0"/>
        <n v="6130.0"/>
        <n v="9964.0"/>
        <n v="1644.0"/>
        <n v="5593.0"/>
        <n v="1608.0"/>
        <n v="13850.0"/>
        <n v="5070.0"/>
        <n v="56640.0"/>
        <n v="23058.0"/>
        <n v="1910.0"/>
        <n v="18960.0"/>
        <n v="2748.0"/>
        <n v="2856.0"/>
        <n v="4816.0"/>
        <n v="4807.0"/>
        <n v="42430.0"/>
        <n v="462.0"/>
        <n v="2596.0"/>
        <n v="8670.0"/>
        <n v="14604.0"/>
        <n v="3360.0"/>
        <n v="6875.0"/>
        <n v="42211.0"/>
        <n v="1730.0"/>
        <n v="19370.0"/>
        <n v="5580.0"/>
        <n v="3562.0"/>
        <n v="9200.0"/>
        <n v="6968.0"/>
        <n v="2398.0"/>
        <n v="15490.0"/>
        <n v="5564.0"/>
        <n v="3060.0"/>
        <n v="4015.0"/>
        <n v="34640.0"/>
        <n v="8880.0"/>
        <n v="8450.0"/>
        <n v="557.0"/>
        <n v="2541.0"/>
      </sharedItems>
    </cacheField>
    <cacheField name="Discount %" numFmtId="0">
      <sharedItems containsSemiMixedTypes="0" containsString="0" containsNumber="1" containsInteger="1">
        <n v="20.0"/>
        <n v="0.0"/>
        <n v="10.0"/>
        <n v="15.0"/>
        <n v="5.0"/>
      </sharedItems>
    </cacheField>
    <cacheField name="Discount Amount (Rs)" numFmtId="3">
      <sharedItems containsSemiMixedTypes="0" containsString="0" containsNumber="1">
        <n v="1365.6000000000001"/>
        <n v="5121.200000000001"/>
        <n v="1377.6000000000001"/>
        <n v="0.0"/>
        <n v="1212.0"/>
        <n v="392.0"/>
        <n v="28.0"/>
        <n v="8832.0"/>
        <n v="190.0"/>
        <n v="406.0"/>
        <n v="204.0"/>
        <n v="482.0"/>
        <n v="87.0"/>
        <n v="151.0"/>
        <n v="156.0"/>
        <n v="73.0"/>
        <n v="952.0"/>
        <n v="3592.0"/>
        <n v="456.0"/>
        <n v="300.0"/>
        <n v="110.0"/>
        <n v="10.0"/>
        <n v="571.0"/>
        <n v="1136.0"/>
        <n v="176.0"/>
        <n v="135.0"/>
        <n v="1172.0"/>
        <n v="239.0"/>
        <n v="370.0"/>
        <n v="1744.0"/>
        <n v="81.0"/>
        <n v="284.0"/>
        <n v="128.0"/>
        <n v="478.0"/>
        <n v="138.0"/>
        <n v="717.0"/>
        <n v="8298.0"/>
        <n v="47.0"/>
        <n v="140.0"/>
        <n v="160.0"/>
        <n v="120.0"/>
        <n v="792.0"/>
        <n v="663.0"/>
        <n v="2675.0"/>
        <n v="78.0"/>
        <n v="103.0"/>
        <n v="9379.0"/>
        <n v="1325.0"/>
        <n v="88.0"/>
        <n v="575.0"/>
        <n v="326.0"/>
        <n v="894.0"/>
        <n v="1731.0"/>
        <n v="4794.0"/>
        <n v="1529.0"/>
        <n v="359.0"/>
        <n v="1386.0"/>
        <n v="324.0"/>
        <n v="2813.0"/>
        <n v="243.0"/>
        <n v="1263.0"/>
        <n v="39.0"/>
        <n v="164.0"/>
        <n v="634.0"/>
        <n v="9094.0"/>
        <n v="277.0"/>
        <n v="186.0"/>
        <n v="6865.0"/>
        <n v="149.0"/>
        <n v="61.0"/>
        <n v="2627.0"/>
        <n v="779.0"/>
        <n v="345.0"/>
        <n v="8260.0"/>
        <n v="674.0"/>
        <n v="374.0"/>
        <n v="6201.0"/>
        <n v="1966.0"/>
        <n v="196.0"/>
        <n v="600.0"/>
        <n v="317.0"/>
        <n v="1296.0"/>
        <n v="2971.0"/>
        <n v="94.0"/>
        <n v="9811.0"/>
        <n v="133.0"/>
        <n v="688.0"/>
        <n v="1315.0"/>
        <n v="1023.0"/>
        <n v="361.0"/>
        <n v="179.0"/>
        <n v="194.0"/>
        <n v="166.0"/>
        <n v="93.0"/>
        <n v="962.0"/>
        <n v="1606.0"/>
        <n v="507.0"/>
        <n v="267.0"/>
        <n v="5259.0"/>
        <n v="5139.0"/>
        <n v="459.0"/>
        <n v="506.0"/>
        <n v="719.0"/>
        <n v="836.0"/>
        <n v="5763.0"/>
        <n v="124.0"/>
        <n v="101.0"/>
        <n v="649.0"/>
        <n v="86.0"/>
        <n v="1020.0"/>
        <n v="645.0"/>
        <n v="234.0"/>
        <n v="1722.0"/>
        <n v="5723.0"/>
        <n v="939.0"/>
        <n v="1156.0"/>
        <n v="706.0"/>
        <n v="7504.0"/>
        <n v="170.0"/>
        <n v="477.0"/>
        <n v="1508.0"/>
        <n v="182.0"/>
        <n v="202.0"/>
        <n v="1279.0"/>
        <n v="200.0"/>
        <n v="2159.0"/>
        <n v="8002.0"/>
        <n v="68.0"/>
        <n v="127.0"/>
        <n v="132.0"/>
        <n v="1036.0"/>
        <n v="387.0"/>
        <n v="1138.0"/>
        <n v="556.0"/>
        <n v="1298.0"/>
        <n v="476.0"/>
        <n v="906.0"/>
        <n v="494.0"/>
        <n v="4373.0"/>
        <n v="882.0"/>
        <n v="5360.0"/>
        <n v="2407.0"/>
        <n v="5575.0"/>
        <n v="950.0"/>
        <n v="1483.0"/>
        <n v="970.0"/>
        <n v="536.0"/>
        <n v="65.0"/>
        <n v="3650.0"/>
        <n v="534.0"/>
        <n v="550.0"/>
        <n v="5022.0"/>
        <n v="2891.0"/>
        <n v="1200.0"/>
        <n v="2730.0"/>
        <n v="323.0"/>
        <n v="11323.0"/>
        <n v="338.0"/>
        <n v="436.0"/>
        <n v="18.0"/>
        <n v="1378.0"/>
        <n v="192.0"/>
        <n v="2946.0"/>
        <n v="1643.0"/>
        <n v="325.0"/>
        <n v="1245.0"/>
        <n v="463.0"/>
        <n v="42.0"/>
        <n v="900.0"/>
        <n v="178.0"/>
        <n v="330.0"/>
        <n v="1421.0"/>
        <n v="9994.0"/>
        <n v="205.0"/>
        <n v="1126.0"/>
        <n v="2840.0"/>
        <n v="350.0"/>
        <n v="522.0"/>
        <n v="1580.0"/>
        <n v="287.0"/>
        <n v="2264.0"/>
        <n v="30.0"/>
        <n v="2965.0"/>
        <n v="468.0"/>
        <n v="2507.0"/>
        <n v="1028.0"/>
        <n v="2466.0"/>
        <n v="913.0"/>
        <n v="4679.0"/>
        <n v="51.0"/>
        <n v="564.0"/>
        <n v="605.0"/>
        <n v="159.0"/>
        <n v="1001.0"/>
        <n v="354.0"/>
        <n v="890.0"/>
        <n v="346.0"/>
        <n v="4052.0"/>
        <n v="257.0"/>
        <n v="7241.0"/>
        <n v="1159.0"/>
        <n v="1833.0"/>
        <n v="1302.0"/>
        <n v="558.0"/>
        <n v="320.0"/>
        <n v="904.0"/>
        <n v="4152.0"/>
        <n v="886.0"/>
        <n v="842.0"/>
        <n v="372.0"/>
        <n v="531.0"/>
        <n v="278.0"/>
        <n v="1993.0"/>
        <n v="2078.0"/>
        <n v="1014.0"/>
        <n v="8496.0"/>
        <n v="1153.0"/>
        <n v="96.0"/>
        <n v="1896.0"/>
        <n v="286.0"/>
        <n v="963.0"/>
        <n v="389.0"/>
        <n v="730.0"/>
        <n v="672.0"/>
        <n v="1031.0"/>
        <n v="8442.0"/>
        <n v="260.0"/>
        <n v="968.0"/>
        <n v="712.0"/>
        <n v="1840.0"/>
        <n v="1394.0"/>
        <n v="1113.0"/>
        <n v="1425.0"/>
        <n v="1732.0"/>
        <n v="1690.0"/>
        <n v="119.0"/>
        <n v="254.0"/>
      </sharedItems>
    </cacheField>
    <cacheField name="Net Sales (Rs)" numFmtId="3">
      <sharedItems containsSemiMixedTypes="0" containsString="0" containsNumber="1" containsInteger="1">
        <n v="5462.0"/>
        <n v="20485.0"/>
        <n v="6888.0"/>
        <n v="3990.0"/>
        <n v="10904.0"/>
        <n v="1570.0"/>
        <n v="156.0"/>
        <n v="5590.0"/>
        <n v="5176.0"/>
        <n v="35328.0"/>
        <n v="4862.0"/>
        <n v="6448.0"/>
        <n v="1706.0"/>
        <n v="7719.0"/>
        <n v="818.0"/>
        <n v="1344.0"/>
        <n v="854.0"/>
        <n v="33465.0"/>
        <n v="8484.0"/>
        <n v="4333.0"/>
        <n v="781.0"/>
        <n v="2867.0"/>
        <n v="1278.0"/>
        <n v="2973.0"/>
        <n v="655.0"/>
        <n v="6646.0"/>
        <n v="3808.0"/>
        <n v="3339.0"/>
        <n v="126.0"/>
        <n v="15678.0"/>
        <n v="14368.0"/>
        <n v="1826.0"/>
        <n v="5700.0"/>
        <n v="7404.0"/>
        <n v="1690.0"/>
        <n v="626.0"/>
        <n v="89.0"/>
        <n v="3382.0"/>
        <n v="1140.0"/>
        <n v="5135.0"/>
        <n v="3530.0"/>
        <n v="10228.0"/>
        <n v="3334.0"/>
        <n v="2569.0"/>
        <n v="10552.0"/>
        <n v="1353.0"/>
        <n v="2096.0"/>
        <n v="24046.0"/>
        <n v="9883.0"/>
        <n v="1536.0"/>
        <n v="1609.0"/>
        <n v="6156.0"/>
        <n v="19908.0"/>
        <n v="21480.0"/>
        <n v="2440.0"/>
        <n v="1912.0"/>
        <n v="1242.0"/>
        <n v="13623.0"/>
        <n v="787.0"/>
        <n v="2704.0"/>
        <n v="3654.0"/>
        <n v="33192.0"/>
        <n v="419.0"/>
        <n v="2656.0"/>
        <n v="127.0"/>
        <n v="5230.0"/>
        <n v="5798.0"/>
        <n v="2740.0"/>
        <n v="12222.0"/>
        <n v="2112.0"/>
        <n v="553.0"/>
        <n v="1442.0"/>
        <n v="1075.0"/>
        <n v="3704.0"/>
        <n v="2480.0"/>
        <n v="7132.0"/>
        <n v="5040.0"/>
        <n v="4740.0"/>
        <n v="3754.0"/>
        <n v="50830.0"/>
        <n v="1483.0"/>
        <n v="2332.0"/>
        <n v="2618.0"/>
        <n v="8964.0"/>
        <n v="13236.0"/>
        <n v="17073.0"/>
        <n v="2967.0"/>
        <n v="412.0"/>
        <n v="3588.0"/>
        <n v="84413.0"/>
        <n v="5299.0"/>
        <n v="794.0"/>
        <n v="33195.0"/>
        <n v="10925.0"/>
        <n v="1848.0"/>
        <n v="16986.0"/>
        <n v="3552.0"/>
        <n v="32891.0"/>
        <n v="43150.0"/>
        <n v="6115.0"/>
        <n v="3229.0"/>
        <n v="1860.0"/>
        <n v="4768.0"/>
        <n v="7854.0"/>
        <n v="920.0"/>
        <n v="1836.0"/>
        <n v="11254.0"/>
        <n v="7126.0"/>
        <n v="8658.0"/>
        <n v="4615.0"/>
        <n v="11365.0"/>
        <n v="352.0"/>
        <n v="3124.0"/>
        <n v="3596.0"/>
        <n v="36378.0"/>
        <n v="6960.0"/>
        <n v="1571.0"/>
        <n v="3531.0"/>
        <n v="38903.0"/>
        <n v="596.0"/>
        <n v="346.0"/>
        <n v="49909.0"/>
        <n v="4417.0"/>
        <n v="1954.0"/>
        <n v="74345.0"/>
        <n v="6061.0"/>
        <n v="5248.0"/>
        <n v="3370.0"/>
        <n v="8185.0"/>
        <n v="2835.0"/>
        <n v="1540.0"/>
        <n v="24803.0"/>
        <n v="11138.0"/>
        <n v="6192.0"/>
        <n v="3045.0"/>
        <n v="15059.0"/>
        <n v="3717.0"/>
        <n v="2400.0"/>
        <n v="1840.0"/>
        <n v="1107.0"/>
        <n v="1824.0"/>
        <n v="1799.0"/>
        <n v="5184.0"/>
        <n v="11885.0"/>
        <n v="374.0"/>
        <n v="1361.0"/>
        <n v="39245.0"/>
        <n v="1568.0"/>
        <n v="753.0"/>
        <n v="11628.0"/>
        <n v="2752.0"/>
        <n v="11837.0"/>
        <n v="9207.0"/>
        <n v="21240.0"/>
        <n v="47520.0"/>
        <n v="2047.0"/>
        <n v="1012.0"/>
        <n v="4320.0"/>
        <n v="1100.0"/>
        <n v="4584.0"/>
        <n v="940.0"/>
        <n v="1767.0"/>
        <n v="413.0"/>
        <n v="5450.0"/>
        <n v="9104.0"/>
        <n v="8886.0"/>
        <n v="6850.0"/>
        <n v="4565.0"/>
        <n v="5068.0"/>
        <n v="29801.0"/>
        <n v="29121.0"/>
        <n v="4131.0"/>
        <n v="1452.0"/>
        <n v="2870.0"/>
        <n v="4077.0"/>
        <n v="15894.0"/>
        <n v="3619.0"/>
        <n v="51867.0"/>
        <n v="2356.0"/>
        <n v="3888.0"/>
        <n v="1914.0"/>
        <n v="1927.0"/>
        <n v="20928.0"/>
        <n v="2597.0"/>
        <n v="773.0"/>
        <n v="3051.0"/>
        <n v="4824.0"/>
        <n v="3030.0"/>
        <n v="3168.0"/>
        <n v="4080.0"/>
        <n v="2579.0"/>
        <n v="2111.0"/>
        <n v="38400.0"/>
        <n v="9306.0"/>
        <n v="15495.0"/>
        <n v="108742.0"/>
        <n v="21974.0"/>
        <n v="30230.0"/>
        <n v="6353.0"/>
        <n v="67536.0"/>
        <n v="678.0"/>
        <n v="724.0"/>
        <n v="2702.0"/>
        <n v="365.0"/>
        <n v="13572.0"/>
        <n v="2869.0"/>
        <n v="3270.0"/>
        <n v="728.0"/>
        <n v="1818.0"/>
        <n v="11509.0"/>
        <n v="800.0"/>
        <n v="5788.0"/>
        <n v="19431.0"/>
        <n v="72013.0"/>
        <n v="28050.0"/>
        <n v="612.0"/>
        <n v="1118.0"/>
        <n v="1147.0"/>
        <n v="528.0"/>
        <n v="4446.0"/>
        <n v="4146.0"/>
        <n v="3483.0"/>
        <n v="12608.0"/>
        <n v="4550.0"/>
        <n v="10559.0"/>
        <n v="18624.0"/>
        <n v="1477.0"/>
        <n v="2418.0"/>
        <n v="11682.0"/>
        <n v="4944.0"/>
        <n v="1904.0"/>
        <n v="1680.0"/>
        <n v="8154.0"/>
        <n v="4441.0"/>
        <n v="17491.0"/>
        <n v="17008.0"/>
        <n v="21442.0"/>
        <n v="21659.0"/>
        <n v="22301.0"/>
        <n v="1432.0"/>
        <n v="3802.0"/>
        <n v="44982.0"/>
        <n v="13349.0"/>
        <n v="1812.0"/>
        <n v="9065.0"/>
        <n v="3881.0"/>
        <n v="10184.0"/>
        <n v="261.0"/>
        <n v="32846.0"/>
        <n v="21825.0"/>
        <n v="3512.0"/>
        <n v="4806.0"/>
        <n v="4949.0"/>
        <n v="28458.0"/>
        <n v="11563.0"/>
        <n v="4800.0"/>
        <n v="10921.0"/>
        <n v="5984.0"/>
        <n v="2908.0"/>
        <n v="3333.0"/>
        <n v="45292.0"/>
        <n v="6412.0"/>
        <n v="1742.0"/>
        <n v="336.0"/>
        <n v="5512.0"/>
        <n v="768.0"/>
        <n v="1317.0"/>
        <n v="16696.0"/>
        <n v="14791.0"/>
        <n v="2325.0"/>
        <n v="9525.0"/>
        <n v="2924.0"/>
        <n v="11209.0"/>
        <n v="8047.0"/>
        <n v="4163.0"/>
        <n v="1347.0"/>
        <n v="807.0"/>
        <n v="8960.0"/>
        <n v="8100.0"/>
        <n v="1383.0"/>
        <n v="3392.0"/>
        <n v="2387.0"/>
        <n v="1321.0"/>
        <n v="8390.0"/>
        <n v="12791.0"/>
        <n v="1604.0"/>
        <n v="56631.0"/>
        <n v="1356.0"/>
        <n v="813.0"/>
        <n v="75780.0"/>
        <n v="1849.0"/>
        <n v="10130.0"/>
        <n v="11361.0"/>
        <n v="1402.0"/>
        <n v="107.0"/>
        <n v="9909.0"/>
        <n v="17360.0"/>
        <n v="126495.0"/>
        <n v="6322.0"/>
        <n v="42658.0"/>
        <n v="3575.0"/>
        <n v="2114.0"/>
        <n v="3537.0"/>
        <n v="3504.0"/>
        <n v="54030.0"/>
        <n v="3047.0"/>
        <n v="26336.0"/>
        <n v="7042.0"/>
        <n v="1149.0"/>
        <n v="3248.0"/>
        <n v="1406.0"/>
        <n v="9056.0"/>
        <n v="265.0"/>
        <n v="2940.0"/>
        <n v="6420.0"/>
        <n v="11858.0"/>
        <n v="4200.0"/>
        <n v="6655.0"/>
        <n v="30898.0"/>
        <n v="68805.0"/>
        <n v="1870.0"/>
        <n v="14209.0"/>
        <n v="4641.0"/>
        <n v="3576.0"/>
        <n v="11310.0"/>
        <n v="2352.0"/>
        <n v="78020.0"/>
        <n v="9252.0"/>
        <n v="9866.0"/>
        <n v="8215.0"/>
        <n v="459.0"/>
        <n v="2160.0"/>
        <n v="1764.0"/>
        <n v="42109.0"/>
        <n v="10720.0"/>
        <n v="3427.0"/>
        <n v="1433.0"/>
        <n v="3920.0"/>
        <n v="19019.0"/>
        <n v="1416.0"/>
        <n v="6150.0"/>
        <n v="960.0"/>
        <n v="3558.0"/>
        <n v="6564.0"/>
        <n v="22963.0"/>
        <n v="1455.0"/>
        <n v="15195.0"/>
        <n v="13431.0"/>
        <n v="65169.0"/>
        <n v="10433.0"/>
        <n v="6885.0"/>
        <n v="7332.0"/>
        <n v="7378.0"/>
        <n v="14832.0"/>
        <n v="2232.0"/>
        <n v="1280.0"/>
        <n v="8140.0"/>
        <n v="16609.0"/>
        <n v="1673.0"/>
        <n v="7976.0"/>
        <n v="3321.0"/>
        <n v="15994.0"/>
        <n v="7440.0"/>
        <n v="3348.0"/>
        <n v="4520.0"/>
        <n v="3206.0"/>
        <n v="4782.0"/>
        <n v="1572.0"/>
        <n v="4879.0"/>
        <n v="6130.0"/>
        <n v="7971.0"/>
        <n v="736.0"/>
        <n v="1480.0"/>
        <n v="5593.0"/>
        <n v="1608.0"/>
        <n v="11772.0"/>
        <n v="4056.0"/>
        <n v="48144.0"/>
        <n v="21905.0"/>
        <n v="1814.0"/>
        <n v="17064.0"/>
        <n v="2198.0"/>
        <n v="2570.0"/>
        <n v="3853.0"/>
        <n v="4807.0"/>
        <n v="42430.0"/>
        <n v="462.0"/>
        <n v="2207.0"/>
        <n v="8670.0"/>
        <n v="13874.0"/>
        <n v="2688.0"/>
        <n v="5844.0"/>
        <n v="33769.0"/>
        <n v="1470.0"/>
        <n v="18402.0"/>
        <n v="5580.0"/>
        <n v="2850.0"/>
        <n v="7360.0"/>
        <n v="5574.0"/>
        <n v="2278.0"/>
        <n v="15490.0"/>
        <n v="6750.0"/>
        <n v="4451.0"/>
        <n v="5701.0"/>
        <n v="3060.0"/>
        <n v="4015.0"/>
        <n v="32908.0"/>
        <n v="8880.0"/>
        <n v="6760.0"/>
        <n v="2261.0"/>
        <n v="557.0"/>
        <n v="2287.0"/>
      </sharedItems>
    </cacheField>
    <cacheField name="Sales Rep" numFmtId="0">
      <sharedItems>
        <s v="Ananya Iyer"/>
        <s v="Pooja Reddy"/>
        <s v="Kavita Nair"/>
        <s v="Vikram Malhotra"/>
        <s v="Amit Singh"/>
        <s v="Priya Verma"/>
        <s v="Rohit Sharma"/>
        <s v="Deepak Yadav"/>
        <s v="Sanjay Rao"/>
        <s v="Neha Gupta"/>
      </sharedItems>
    </cacheField>
    <cacheField name="Payment Mode" numFmtId="0">
      <sharedItems>
        <s v="Cash"/>
        <s v="Credit Card"/>
        <s v="Net Banking"/>
        <s v="UPI"/>
        <s v="Debit Card"/>
      </sharedItems>
    </cacheField>
    <cacheField name="Customer Type" numFmtId="0">
      <sharedItems>
        <s v="Wholesale"/>
        <s v="Online"/>
        <s v="Retail"/>
      </sharedItems>
    </cacheField>
    <cacheField name=" " numFmtId="0">
      <sharedItems containsBlank="1">
        <s v="Please specify what question you would like answered or what task you need assistance with for the selected data."/>
        <m/>
      </sharedItems>
    </cacheField>
    <cacheField name=" 2" numFmtId="0">
      <sharedItems containsBlank="1">
        <m/>
        <s v="North"/>
        <s v="East"/>
        <s v="West"/>
        <s v="South"/>
        <s v="resion "/>
      </sharedItems>
    </cacheField>
    <cacheField name=" 3" numFmtId="0">
      <sharedItems containsBlank="1">
        <m/>
        <e v="#VALUE!"/>
        <s v="Groceries"/>
      </sharedItems>
    </cacheField>
    <cacheField name=" 4" numFmtId="0">
      <sharedItems containsBlank="1">
        <m/>
        <s v="Personal Care"/>
      </sharedItems>
    </cacheField>
    <cacheField name=" 5" numFmtId="0">
      <sharedItems containsBlank="1">
        <m/>
        <s v="Apparel"/>
      </sharedItems>
    </cacheField>
    <cacheField name=" 6" numFmtId="0">
      <sharedItems containsBlank="1">
        <m/>
        <s v="Electronics"/>
      </sharedItems>
    </cacheField>
    <cacheField name=" 7" numFmtId="0">
      <sharedItems containsBlank="1">
        <m/>
        <s v="Home &amp; Kitche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421" sheet="SuperMart - Raw Data"/>
  </cacheSource>
  <cacheFields>
    <cacheField name="orderId" numFmtId="0">
      <sharedItems containsSemiMixedTypes="0" containsString="0" containsNumber="1" containsInteger="1">
        <n v="20121.0"/>
        <n v="20122.0"/>
        <n v="20123.0"/>
        <n v="20124.0"/>
        <n v="20125.0"/>
        <n v="20126.0"/>
        <n v="20127.0"/>
        <n v="20128.0"/>
        <n v="20129.0"/>
        <n v="20053.0"/>
        <n v="20140.0"/>
        <n v="20287.0"/>
        <n v="20328.0"/>
        <n v="20033.0"/>
        <n v="20403.0"/>
        <n v="20276.0"/>
        <n v="20008.0"/>
        <n v="20290.0"/>
        <n v="20240.0"/>
        <n v="20037.0"/>
        <n v="20082.0"/>
        <n v="20086.0"/>
        <n v="20196.0"/>
        <n v="20113.0"/>
        <n v="20256.0"/>
        <n v="20261.0"/>
        <n v="20014.0"/>
        <n v="20147.0"/>
        <n v="20205.0"/>
        <n v="20172.0"/>
        <n v="20263.0"/>
        <n v="20303.0"/>
        <n v="20085.0"/>
        <n v="20267.0"/>
        <n v="20026.0"/>
        <n v="20042.0"/>
        <n v="20154.0"/>
        <n v="20189.0"/>
        <n v="20359.0"/>
        <n v="20273.0"/>
        <n v="20119.0"/>
        <n v="20060.0"/>
        <n v="20075.0"/>
        <n v="20320.0"/>
        <n v="20250.0"/>
        <n v="20336.0"/>
        <n v="20068.0"/>
        <n v="20006.0"/>
        <n v="20083.0"/>
        <n v="20130.0"/>
        <n v="20254.0"/>
        <n v="20410.0"/>
        <n v="20028.0"/>
        <n v="20227.0"/>
        <n v="20367.0"/>
        <n v="20393.0"/>
        <n v="20103.0"/>
        <n v="20138.0"/>
        <n v="20298.0"/>
        <n v="20335.0"/>
        <n v="20200.0"/>
        <n v="20395.0"/>
        <n v="20144.0"/>
        <n v="20248.0"/>
        <n v="20369.0"/>
        <n v="20166.0"/>
        <n v="20349.0"/>
        <n v="20155.0"/>
        <n v="20277.0"/>
        <n v="20324.0"/>
        <n v="20257.0"/>
        <n v="20235.0"/>
        <n v="20190.0"/>
        <n v="20236.0"/>
        <n v="20160.0"/>
        <n v="20031.0"/>
        <n v="20377.0"/>
        <n v="20413.0"/>
        <n v="20057.0"/>
        <n v="20330.0"/>
        <n v="20152.0"/>
        <n v="20264.0"/>
        <n v="20162.0"/>
        <n v="20184.0"/>
        <n v="20309.0"/>
        <n v="20181.0"/>
        <n v="20312.0"/>
        <n v="20093.0"/>
        <n v="20337.0"/>
        <n v="20319.0"/>
        <n v="20357.0"/>
        <n v="20073.0"/>
        <n v="20087.0"/>
        <n v="20389.0"/>
        <n v="20365.0"/>
        <n v="20111.0"/>
        <n v="20412.0"/>
        <n v="20059.0"/>
        <n v="20142.0"/>
        <n v="20408.0"/>
        <n v="20215.0"/>
        <n v="20299.0"/>
        <n v="20383.0"/>
        <n v="20347.0"/>
        <n v="20392.0"/>
        <n v="20020.0"/>
        <n v="20120.0"/>
        <n v="20013.0"/>
        <n v="20034.0"/>
        <n v="20222.0"/>
        <n v="20313.0"/>
        <n v="20174.0"/>
        <n v="20351.0"/>
        <n v="20302.0"/>
        <n v="20063.0"/>
        <n v="20106.0"/>
        <n v="20258.0"/>
        <n v="20275.0"/>
        <n v="20043.0"/>
        <n v="20049.0"/>
        <n v="20061.0"/>
        <n v="20289.0"/>
        <n v="20078.0"/>
        <n v="20197.0"/>
        <n v="20211.0"/>
        <n v="20334.0"/>
        <n v="20194.0"/>
        <n v="20183.0"/>
        <n v="20161.0"/>
        <n v="20193.0"/>
        <n v="20406.0"/>
        <n v="20027.0"/>
        <n v="20058.0"/>
        <n v="20280.0"/>
        <n v="20045.0"/>
        <n v="20292.0"/>
        <n v="20310.0"/>
        <n v="20101.0"/>
        <n v="20133.0"/>
        <n v="20414.0"/>
        <n v="20198.0"/>
        <n v="20262.0"/>
        <n v="20051.0"/>
        <n v="20401.0"/>
        <n v="20381.0"/>
        <n v="20102.0"/>
        <n v="20145.0"/>
        <n v="20245.0"/>
        <n v="20247.0"/>
        <n v="20282.0"/>
        <n v="20114.0"/>
        <n v="20035.0"/>
        <n v="20223.0"/>
        <n v="20136.0"/>
        <n v="20175.0"/>
        <n v="20224.0"/>
        <n v="20346.0"/>
        <n v="20294.0"/>
        <n v="20180.0"/>
        <n v="20038.0"/>
        <n v="20220.0"/>
        <n v="20089.0"/>
        <n v="20195.0"/>
        <n v="20307.0"/>
        <n v="20373.0"/>
        <n v="20143.0"/>
        <n v="20023.0"/>
        <n v="20107.0"/>
        <n v="20405.0"/>
        <n v="20025.0"/>
        <n v="20212.0"/>
        <n v="20266.0"/>
        <n v="20317.0"/>
        <n v="20040.0"/>
        <n v="20118.0"/>
        <n v="20218.0"/>
        <n v="20168.0"/>
        <n v="20187.0"/>
        <n v="20246.0"/>
        <n v="20231.0"/>
        <n v="20342.0"/>
        <n v="20030.0"/>
        <n v="20074.0"/>
        <n v="20323.0"/>
        <n v="20415.0"/>
        <n v="20288.0"/>
        <n v="20316.0"/>
        <n v="20295.0"/>
        <n v="20080.0"/>
        <n v="20029.0"/>
        <n v="20173.0"/>
        <n v="20229.0"/>
        <n v="20418.0"/>
        <n v="20300.0"/>
        <n v="20291.0"/>
        <n v="20241.0"/>
        <n v="20360.0"/>
        <n v="20091.0"/>
        <n v="20139.0"/>
        <n v="20284.0"/>
        <n v="20274.0"/>
        <n v="20332.0"/>
        <n v="20249.0"/>
        <n v="20297.0"/>
        <n v="20374.0"/>
        <n v="20380.0"/>
        <n v="20092.0"/>
        <n v="20131.0"/>
        <n v="20094.0"/>
        <n v="20233.0"/>
        <n v="20411.0"/>
        <n v="20110.0"/>
        <n v="20153.0"/>
        <n v="20252.0"/>
        <n v="20097.0"/>
        <n v="20202.0"/>
        <n v="20271.0"/>
        <n v="20135.0"/>
        <n v="20199.0"/>
        <n v="20388.0"/>
        <n v="20004.0"/>
        <n v="20279.0"/>
        <n v="20213.0"/>
        <n v="20397.0"/>
        <n v="20150.0"/>
        <n v="20022.0"/>
        <n v="20216.0"/>
        <n v="20163.0"/>
        <n v="20409.0"/>
        <n v="20090.0"/>
        <n v="20115.0"/>
        <n v="20420.0"/>
        <n v="20104.0"/>
        <n v="20096.0"/>
        <n v="20269.0"/>
        <n v="20296.0"/>
        <n v="20322.0"/>
        <n v="20394.0"/>
        <n v="20203.0"/>
        <n v="20308.0"/>
        <n v="20002.0"/>
        <n v="20019.0"/>
        <n v="20116.0"/>
        <n v="20217.0"/>
        <n v="20012.0"/>
        <n v="20338.0"/>
        <n v="20339.0"/>
        <n v="20098.0"/>
        <n v="20278.0"/>
        <n v="20146.0"/>
        <n v="20003.0"/>
        <n v="20225.0"/>
        <n v="20069.0"/>
        <n v="20232.0"/>
        <n v="20151.0"/>
        <n v="20350.0"/>
        <n v="20099.0"/>
        <n v="20185.0"/>
        <n v="20188.0"/>
        <n v="20009.0"/>
        <n v="20348.0"/>
        <n v="20417.0"/>
        <n v="20358.0"/>
        <n v="20052.0"/>
        <n v="20065.0"/>
        <n v="20321.0"/>
        <n v="20079.0"/>
        <n v="20265.0"/>
        <n v="20015.0"/>
        <n v="20169.0"/>
        <n v="20301.0"/>
        <n v="20352.0"/>
        <n v="20384.0"/>
        <n v="20081.0"/>
        <n v="20379.0"/>
        <n v="20382.0"/>
        <n v="20238.0"/>
        <n v="20010.0"/>
        <n v="20293.0"/>
        <n v="20343.0"/>
        <n v="20167.0"/>
        <n v="20206.0"/>
        <n v="20134.0"/>
        <n v="20182.0"/>
        <n v="20363.0"/>
        <n v="20404.0"/>
        <n v="20076.0"/>
        <n v="20156.0"/>
        <n v="20398.0"/>
        <n v="20315.0"/>
        <n v="20304.0"/>
        <n v="20208.0"/>
        <n v="20186.0"/>
        <n v="20281.0"/>
        <n v="20011.0"/>
        <n v="20112.0"/>
        <n v="20270.0"/>
        <n v="20325.0"/>
        <n v="20056.0"/>
        <n v="20192.0"/>
        <n v="20179.0"/>
        <n v="20201.0"/>
        <n v="20368.0"/>
        <n v="20259.0"/>
        <n v="20305.0"/>
        <n v="20176.0"/>
        <n v="20191.0"/>
        <n v="20239.0"/>
        <n v="20364.0"/>
        <n v="20046.0"/>
        <n v="20362.0"/>
        <n v="20047.0"/>
        <n v="20354.0"/>
        <n v="20371.0"/>
        <n v="20005.0"/>
        <n v="20210.0"/>
        <n v="20100.0"/>
        <n v="20255.0"/>
        <n v="20108.0"/>
        <n v="20341.0"/>
        <n v="20165.0"/>
        <n v="20285.0"/>
        <n v="20209.0"/>
        <n v="20039.0"/>
        <n v="20318.0"/>
        <n v="20149.0"/>
        <n v="20402.0"/>
        <n v="20416.0"/>
        <n v="20170.0"/>
        <n v="20157.0"/>
        <n v="20387.0"/>
        <n v="20283.0"/>
        <n v="20234.0"/>
        <n v="20419.0"/>
        <n v="20017.0"/>
        <n v="20070.0"/>
        <n v="20326.0"/>
        <n v="20391.0"/>
        <n v="20024.0"/>
        <n v="20044.0"/>
        <n v="20071.0"/>
        <n v="20036.0"/>
        <n v="20072.0"/>
        <n v="20109.0"/>
        <n v="20286.0"/>
        <n v="20344.0"/>
        <n v="20054.0"/>
        <n v="20375.0"/>
        <n v="20137.0"/>
        <n v="20314.0"/>
        <n v="20214.0"/>
        <n v="20242.0"/>
        <n v="20067.0"/>
        <n v="20306.0"/>
        <n v="20331.0"/>
        <n v="20237.0"/>
        <n v="20345.0"/>
        <n v="20050.0"/>
        <n v="20268.0"/>
        <n v="20066.0"/>
        <n v="20385.0"/>
        <n v="20376.0"/>
        <n v="20105.0"/>
        <n v="20356.0"/>
        <n v="20007.0"/>
        <n v="20311.0"/>
        <n v="20396.0"/>
        <n v="20177.0"/>
        <n v="20226.0"/>
        <n v="20001.0"/>
        <n v="20204.0"/>
        <n v="20148.0"/>
        <n v="20370.0"/>
        <n v="20016.0"/>
        <n v="20253.0"/>
        <n v="20260.0"/>
        <n v="20021.0"/>
        <n v="20158.0"/>
        <n v="20178.0"/>
        <n v="20244.0"/>
        <n v="20372.0"/>
        <n v="20399.0"/>
        <n v="20141.0"/>
        <n v="20329.0"/>
        <n v="20386.0"/>
        <n v="20041.0"/>
        <n v="20272.0"/>
        <n v="20355.0"/>
        <n v="20088.0"/>
        <n v="20018.0"/>
        <n v="20340.0"/>
        <n v="20361.0"/>
        <n v="20333.0"/>
        <n v="20353.0"/>
        <n v="20095.0"/>
        <n v="20407.0"/>
        <n v="20132.0"/>
        <n v="20228.0"/>
        <n v="20032.0"/>
        <n v="20159.0"/>
        <n v="20219.0"/>
        <n v="20327.0"/>
        <n v="20055.0"/>
        <n v="20084.0"/>
        <n v="20251.0"/>
        <n v="20077.0"/>
        <n v="20171.0"/>
        <n v="20062.0"/>
        <n v="20243.0"/>
        <n v="20400.0"/>
        <n v="20064.0"/>
        <n v="20230.0"/>
      </sharedItems>
    </cacheField>
    <cacheField name="Order Date" numFmtId="164">
      <sharedItems containsSemiMixedTypes="0" containsDate="1" containsString="0">
        <d v="2025-01-01T00:00:00Z"/>
        <d v="2025-01-04T00:00:00Z"/>
        <d v="2025-01-05T00:00:00Z"/>
        <d v="2025-01-06T00:00:00Z"/>
        <d v="2025-01-09T00:00:00Z"/>
        <d v="2025-01-10T00:00:00Z"/>
        <d v="2025-01-11T00:00:00Z"/>
        <d v="2025-01-12T00:00:00Z"/>
        <d v="2025-01-13T00:00:00Z"/>
        <d v="2025-01-15T00:00:00Z"/>
        <d v="2025-01-16T00:00:00Z"/>
        <d v="2025-01-17T00:00:00Z"/>
        <d v="2025-01-22T00:00:00Z"/>
        <d v="2025-01-23T00:00:00Z"/>
        <d v="2025-01-24T00:00:00Z"/>
        <d v="2025-01-25T00:00:00Z"/>
        <d v="2025-01-27T00:00:00Z"/>
        <d v="2025-01-28T00:00:00Z"/>
        <d v="2025-01-29T00:00:00Z"/>
        <d v="2025-01-30T00:00:00Z"/>
        <d v="2025-01-31T00:00:00Z"/>
        <d v="2025-02-01T00:00:00Z"/>
        <d v="2025-02-02T00:00:00Z"/>
        <d v="2025-02-04T00:00:00Z"/>
        <d v="2025-02-05T00:00:00Z"/>
        <d v="2025-02-07T00:00:00Z"/>
        <d v="2025-02-08T00:00:00Z"/>
        <d v="2025-02-10T00:00:00Z"/>
        <d v="2025-02-13T00:00:00Z"/>
        <d v="2025-02-15T00:00:00Z"/>
        <d v="2025-02-16T00:00:00Z"/>
        <d v="2025-02-17T00:00:00Z"/>
        <d v="2025-02-20T00:00:00Z"/>
        <d v="2025-02-21T00:00:00Z"/>
        <d v="2025-02-23T00:00:00Z"/>
        <d v="2025-02-24T00:00:00Z"/>
        <d v="2025-02-25T00:00:00Z"/>
        <d v="2025-02-26T00:00:00Z"/>
        <d v="2025-03-01T00:00:00Z"/>
        <d v="2025-03-02T00:00:00Z"/>
        <d v="2025-03-05T00:00:00Z"/>
        <d v="2025-03-07T00:00:00Z"/>
        <d v="2025-03-08T00:00:00Z"/>
        <d v="2025-03-09T00:00:00Z"/>
        <d v="2025-03-10T00:00:00Z"/>
        <d v="2025-03-11T00:00:00Z"/>
        <d v="2025-03-12T00:00:00Z"/>
        <d v="2025-03-15T00:00:00Z"/>
        <d v="2025-03-18T00:00:00Z"/>
        <d v="2025-03-20T00:00:00Z"/>
        <d v="2025-03-22T00:00:00Z"/>
        <d v="2025-03-23T00:00:00Z"/>
        <d v="2025-03-25T00:00:00Z"/>
        <d v="2025-03-26T00:00:00Z"/>
        <d v="2025-03-27T00:00:00Z"/>
        <d v="2025-03-29T00:00:00Z"/>
        <d v="2025-03-30T00:00:00Z"/>
        <d v="2025-03-31T00:00:00Z"/>
        <d v="2025-04-01T00:00:00Z"/>
        <d v="2025-04-02T00:00:00Z"/>
        <d v="2025-04-03T00:00:00Z"/>
        <d v="2025-04-04T00:00:00Z"/>
        <d v="2025-04-06T00:00:00Z"/>
        <d v="2025-04-07T00:00:00Z"/>
        <d v="2025-04-08T00:00:00Z"/>
        <d v="2025-04-10T00:00:00Z"/>
        <d v="2025-04-12T00:00:00Z"/>
        <d v="2025-04-13T00:00:00Z"/>
        <d v="2025-04-16T00:00:00Z"/>
        <d v="2025-04-17T00:00:00Z"/>
        <d v="2025-04-18T00:00:00Z"/>
        <d v="2025-04-19T00:00:00Z"/>
        <d v="2025-04-21T00:00:00Z"/>
        <d v="2025-04-23T00:00:00Z"/>
        <d v="2025-04-24T00:00:00Z"/>
        <d v="2025-04-25T00:00:00Z"/>
        <d v="2025-04-26T00:00:00Z"/>
        <d v="2025-04-28T00:00:00Z"/>
        <d v="2025-04-29T00:00:00Z"/>
        <d v="2025-04-30T00:00:00Z"/>
        <d v="2025-05-01T00:00:00Z"/>
        <d v="2025-05-04T00:00:00Z"/>
        <d v="2025-05-06T00:00:00Z"/>
        <d v="2025-05-07T00:00:00Z"/>
        <d v="2025-05-08T00:00:00Z"/>
        <d v="2025-05-09T00:00:00Z"/>
        <d v="2025-05-11T00:00:00Z"/>
        <d v="2025-05-13T00:00:00Z"/>
        <d v="2025-05-14T00:00:00Z"/>
        <d v="2025-05-15T00:00:00Z"/>
        <d v="2025-05-16T00:00:00Z"/>
        <d v="2025-05-17T00:00:00Z"/>
        <d v="2025-05-18T00:00:00Z"/>
        <d v="2025-05-19T00:00:00Z"/>
        <d v="2025-05-20T00:00:00Z"/>
        <d v="2025-05-23T00:00:00Z"/>
        <d v="2025-05-24T00:00:00Z"/>
        <d v="2025-05-27T00:00:00Z"/>
        <d v="2025-05-29T00:00:00Z"/>
        <d v="2025-05-30T00:00:00Z"/>
        <d v="2025-05-31T00:00:00Z"/>
        <d v="2025-06-02T00:00:00Z"/>
        <d v="2025-06-03T00:00:00Z"/>
        <d v="2025-06-04T00:00:00Z"/>
        <d v="2025-06-05T00:00:00Z"/>
        <d v="2025-06-06T00:00:00Z"/>
        <d v="2025-06-08T00:00:00Z"/>
        <d v="2025-06-10T00:00:00Z"/>
        <d v="2025-06-11T00:00:00Z"/>
        <d v="2025-06-13T00:00:00Z"/>
        <d v="2025-06-14T00:00:00Z"/>
        <d v="2025-06-16T00:00:00Z"/>
        <d v="2025-06-17T00:00:00Z"/>
        <d v="2025-06-19T00:00:00Z"/>
        <d v="2025-06-20T00:00:00Z"/>
        <d v="2025-06-21T00:00:00Z"/>
        <d v="2025-06-22T00:00:00Z"/>
        <d v="2025-06-23T00:00:00Z"/>
        <d v="2025-06-24T00:00:00Z"/>
        <d v="2025-06-25T00:00:00Z"/>
        <d v="2025-06-26T00:00:00Z"/>
        <d v="2025-06-27T00:00:00Z"/>
        <d v="2025-06-28T00:00:00Z"/>
        <d v="2025-06-30T00:00:00Z"/>
        <d v="2025-07-01T00:00:00Z"/>
        <d v="2025-07-03T00:00:00Z"/>
        <d v="2025-07-04T00:00:00Z"/>
        <d v="2025-07-06T00:00:00Z"/>
        <d v="2025-07-07T00:00:00Z"/>
        <d v="2025-07-08T00:00:00Z"/>
        <d v="2025-07-09T00:00:00Z"/>
        <d v="2025-07-10T00:00:00Z"/>
        <d v="2025-07-11T00:00:00Z"/>
        <d v="2025-07-13T00:00:00Z"/>
        <d v="2025-07-14T00:00:00Z"/>
        <d v="2025-07-15T00:00:00Z"/>
        <d v="2025-07-16T00:00:00Z"/>
        <d v="2025-07-18T00:00:00Z"/>
        <d v="2025-07-19T00:00:00Z"/>
        <d v="2025-07-21T00:00:00Z"/>
        <d v="2025-07-22T00:00:00Z"/>
        <d v="2025-07-23T00:00:00Z"/>
        <d v="2025-07-25T00:00:00Z"/>
        <d v="2025-07-29T00:00:00Z"/>
        <d v="2025-07-31T00:00:00Z"/>
        <d v="2025-08-02T00:00:00Z"/>
        <d v="2025-08-05T00:00:00Z"/>
        <d v="2025-08-09T00:00:00Z"/>
        <d v="2025-08-11T00:00:00Z"/>
        <d v="2025-08-13T00:00:00Z"/>
        <d v="2025-08-14T00:00:00Z"/>
        <d v="2025-08-16T00:00:00Z"/>
        <d v="2025-08-17T00:00:00Z"/>
        <d v="2025-08-18T00:00:00Z"/>
        <d v="2025-08-19T00:00:00Z"/>
        <d v="2025-08-20T00:00:00Z"/>
        <d v="2025-08-21T00:00:00Z"/>
        <d v="2025-08-22T00:00:00Z"/>
        <d v="2025-08-23T00:00:00Z"/>
        <d v="2025-08-25T00:00:00Z"/>
        <d v="2025-08-26T00:00:00Z"/>
        <d v="2025-08-27T00:00:00Z"/>
        <d v="2025-08-29T00:00:00Z"/>
        <d v="2025-08-30T00:00:00Z"/>
        <d v="2025-09-01T00:00:00Z"/>
        <d v="2025-09-03T00:00:00Z"/>
        <d v="2025-09-05T00:00:00Z"/>
        <d v="2025-09-07T00:00:00Z"/>
        <d v="2025-09-09T00:00:00Z"/>
        <d v="2025-09-10T00:00:00Z"/>
        <d v="2025-09-13T00:00:00Z"/>
        <d v="2025-09-14T00:00:00Z"/>
        <d v="2025-09-16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9T00:00:00Z"/>
        <d v="2025-10-10T00:00:00Z"/>
        <d v="2025-10-11T00:00:00Z"/>
        <d v="2025-10-12T00:00:00Z"/>
        <d v="2025-10-13T00:00:00Z"/>
        <d v="2025-10-15T00:00:00Z"/>
        <d v="2025-10-16T00:00:00Z"/>
        <d v="2025-10-17T00:00:00Z"/>
        <d v="2025-10-19T00:00:00Z"/>
        <d v="2025-10-20T00:00:00Z"/>
        <d v="2025-10-21T00:00:00Z"/>
        <d v="2025-10-22T00:00:00Z"/>
        <d v="2025-10-24T00:00:00Z"/>
        <d v="2025-10-25T00:00:00Z"/>
        <d v="2025-10-26T00:00:00Z"/>
        <d v="2025-10-27T00:00:00Z"/>
        <d v="2025-10-28T00:00:00Z"/>
        <d v="2025-10-29T00:00:00Z"/>
        <d v="2025-11-01T00:00:00Z"/>
        <d v="2025-11-02T00:00:00Z"/>
        <d v="2025-11-03T00:00:00Z"/>
        <d v="2025-11-04T00:00:00Z"/>
        <d v="2025-11-05T00:00:00Z"/>
        <d v="2025-11-06T00:00:00Z"/>
        <d v="2025-11-07T00:00:00Z"/>
        <d v="2025-11-08T00:00:00Z"/>
        <d v="2025-11-11T00:00:00Z"/>
        <d v="2025-11-12T00:00:00Z"/>
        <d v="2025-11-13T00:00:00Z"/>
        <d v="2025-11-14T00:00:00Z"/>
        <d v="2025-11-15T00:00:00Z"/>
        <d v="2025-11-18T00:00:00Z"/>
        <d v="2025-11-19T00:00:00Z"/>
        <d v="2025-11-20T00:00:00Z"/>
        <d v="2025-11-21T00:00:00Z"/>
        <d v="2025-11-22T00:00:00Z"/>
        <d v="2025-11-23T00:00:00Z"/>
        <d v="2025-11-24T00:00:00Z"/>
        <d v="2025-11-25T00:00:00Z"/>
        <d v="2025-11-27T00:00:00Z"/>
        <d v="2025-11-29T00:00:00Z"/>
        <d v="2025-11-30T00:00:00Z"/>
        <d v="2025-12-01T00:00:00Z"/>
        <d v="2025-12-02T00:00:00Z"/>
        <d v="2025-12-03T00:00:00Z"/>
        <d v="2025-12-05T00:00:00Z"/>
        <d v="2025-12-06T00:00:00Z"/>
        <d v="2025-12-07T00:00:00Z"/>
        <d v="2025-12-08T00:00:00Z"/>
        <d v="2025-12-09T00:00:00Z"/>
        <d v="2025-12-10T00:00:00Z"/>
        <d v="2025-12-12T00:00:00Z"/>
        <d v="2025-12-13T00:00:00Z"/>
        <d v="2025-12-14T00:00:00Z"/>
        <d v="2025-12-16T00:00:00Z"/>
        <d v="2025-12-17T00:00:00Z"/>
        <d v="2025-12-18T00:00:00Z"/>
        <d v="2025-12-20T00:00:00Z"/>
        <d v="2025-12-21T00:00:00Z"/>
        <d v="2025-12-23T00:00:00Z"/>
        <d v="2025-12-24T00:00:00Z"/>
        <d v="2025-12-25T00:00:00Z"/>
        <d v="2025-12-26T00:00:00Z"/>
        <d v="2025-12-27T00:00:00Z"/>
        <d v="2025-12-29T00:00:00Z"/>
        <d v="2025-12-30T00:00:00Z"/>
      </sharedItems>
    </cacheField>
    <cacheField name="City" numFmtId="0">
      <sharedItems>
        <s v="Patna"/>
        <s v="Kochi"/>
        <s v="Kolkata"/>
        <s v="Chandigarh"/>
        <s v="Surat"/>
        <s v="Bengaluru"/>
        <s v="Bhubaneswar"/>
        <s v="Mumbai"/>
        <s v="Pune"/>
        <s v="Guwahati"/>
        <s v="Hyderabad"/>
        <s v="Chennai"/>
        <s v="Lucknow"/>
        <s v="Gurugram"/>
        <s v="Delhi"/>
        <s v="Ahmedabad"/>
      </sharedItems>
    </cacheField>
    <cacheField name="Region" numFmtId="0">
      <sharedItems>
        <s v="North"/>
        <s v="South"/>
        <s v="East"/>
        <s v="West"/>
      </sharedItems>
    </cacheField>
    <cacheField name="Category" numFmtId="0">
      <sharedItems>
        <s v="Groceries"/>
        <s v="Home &amp; Kitchen"/>
        <s v="Apparel"/>
        <s v="Personal Care"/>
        <s v="Electronics"/>
      </sharedItems>
    </cacheField>
    <cacheField name="Product" numFmtId="0">
      <sharedItems>
        <s v="Storage Container Set"/>
        <s v="Denim Jeans"/>
        <s v="Formal Shirt"/>
        <s v="Face Wash"/>
        <s v="Steel Dinner Set"/>
        <s v="Water Bottle 1L"/>
        <s v="Sugar 1kg"/>
        <s v="Mustard Oil 1L"/>
        <s v="Women Saree"/>
        <s v="Mixer Grinder"/>
        <s v="Shampoo 200ml"/>
        <s v="Soap Pack of 4"/>
        <s v="Toothpaste 200g"/>
        <s v="Hair Oil 200ml"/>
        <s v="Bluetooth Speaker"/>
        <s v="LED TV 32in"/>
        <s v="Non-stick Tawa"/>
        <s v="Tea Powder 500g"/>
        <s v="Kids T-Shirt"/>
        <s v="Cotton Dupatta"/>
        <s v="Toor Dal 1kg"/>
        <s v="Ceiling Fan"/>
        <s v="Men Kurta"/>
        <s v="Bedsheet Set"/>
        <s v="Basmati Rice 5kg"/>
        <s v="Iron Box"/>
        <s v="Pressure Cooker"/>
        <s v="Atta 10kg"/>
      </sharedItems>
    </cacheField>
    <cacheField name="Qty Sold" numFmtId="0">
      <sharedItems containsSemiMixedTypes="0" containsString="0" containsNumber="1" containsInteger="1">
        <n v="6.0"/>
        <n v="14.0"/>
        <n v="7.0"/>
        <n v="15.0"/>
        <n v="13.0"/>
        <n v="1.0"/>
        <n v="10.0"/>
        <n v="4.0"/>
        <n v="8.0"/>
        <n v="11.0"/>
        <n v="12.0"/>
        <n v="2.0"/>
        <n v="9.0"/>
        <n v="3.0"/>
        <n v="5.0"/>
      </sharedItems>
    </cacheField>
    <cacheField name="Unit Price (Rs)" numFmtId="3">
      <sharedItems containsSemiMixedTypes="0" containsString="0" containsNumber="1" containsInteger="1">
        <n v="1138.0"/>
        <n v="1829.0"/>
        <n v="984.0"/>
        <n v="266.0"/>
        <n v="932.0"/>
        <n v="1962.0"/>
        <n v="184.0"/>
        <n v="559.0"/>
        <n v="1294.0"/>
        <n v="5520.0"/>
        <n v="442.0"/>
        <n v="496.0"/>
        <n v="158.0"/>
        <n v="625.0"/>
        <n v="511.0"/>
        <n v="112.0"/>
        <n v="427.0"/>
        <n v="2231.0"/>
        <n v="1212.0"/>
        <n v="321.0"/>
        <n v="124.0"/>
        <n v="503.0"/>
        <n v="213.0"/>
        <n v="3129.0"/>
        <n v="364.0"/>
        <n v="6646.0"/>
        <n v="2380.0"/>
        <n v="371.0"/>
        <n v="126.0"/>
        <n v="1742.0"/>
        <n v="2245.0"/>
        <n v="326.0"/>
        <n v="500.0"/>
        <n v="1234.0"/>
        <n v="169.0"/>
        <n v="99.0"/>
        <n v="1691.0"/>
        <n v="95.0"/>
        <n v="1902.0"/>
        <n v="1765.0"/>
        <n v="1894.0"/>
        <n v="390.0"/>
        <n v="1352.0"/>
        <n v="977.0"/>
        <n v="199.0"/>
        <n v="1233.0"/>
        <n v="2186.0"/>
        <n v="1057.0"/>
        <n v="539.0"/>
        <n v="631.0"/>
        <n v="513.0"/>
        <n v="1422.0"/>
        <n v="1432.0"/>
        <n v="642.0"/>
        <n v="1195.0"/>
        <n v="276.0"/>
        <n v="1434.0"/>
        <n v="787.0"/>
        <n v="338.0"/>
        <n v="261.0"/>
        <n v="4149.0"/>
        <n v="233.0"/>
        <n v="127.0"/>
        <n v="523.0"/>
        <n v="446.0"/>
        <n v="274.0"/>
        <n v="873.0"/>
        <n v="192.0"/>
        <n v="79.0"/>
        <n v="267.0"/>
        <n v="239.0"/>
        <n v="463.0"/>
        <n v="310.0"/>
        <n v="566.0"/>
        <n v="560.0"/>
        <n v="316.0"/>
        <n v="5945.0"/>
        <n v="223.0"/>
        <n v="583.0"/>
        <n v="238.0"/>
        <n v="2241.0"/>
        <n v="1103.0"/>
        <n v="1897.0"/>
        <n v="989.0"/>
        <n v="515.0"/>
        <n v="299.0"/>
        <n v="7816.0"/>
        <n v="828.0"/>
        <n v="2213.0"/>
        <n v="1150.0"/>
        <n v="2174.0"/>
        <n v="1788.0"/>
        <n v="592.0"/>
        <n v="2473.0"/>
        <n v="3688.0"/>
        <n v="588.0"/>
        <n v="372.0"/>
        <n v="596.0"/>
        <n v="770.0"/>
        <n v="115.0"/>
        <n v="240.0"/>
        <n v="4689.0"/>
        <n v="509.0"/>
        <n v="962.0"/>
        <n v="347.0"/>
        <n v="1804.0"/>
        <n v="391.0"/>
        <n v="548.0"/>
        <n v="1410.0"/>
        <n v="6496.0"/>
        <n v="696.0"/>
        <n v="264.0"/>
        <n v="413.0"/>
        <n v="3814.0"/>
        <n v="745.0"/>
        <n v="407.0"/>
        <n v="4776.0"/>
        <n v="433.0"/>
        <n v="209.0"/>
        <n v="5507.0"/>
        <n v="1347.0"/>
        <n v="656.0"/>
        <n v="416.0"/>
        <n v="1637.0"/>
        <n v="373.0"/>
        <n v="154.0"/>
        <n v="7751.0"/>
        <n v="1638.0"/>
        <n v="1548.0"/>
        <n v="203.0"/>
        <n v="1369.0"/>
        <n v="301.0"/>
        <n v="200.0"/>
        <n v="146.0"/>
        <n v="123.0"/>
        <n v="190.0"/>
        <n v="1058.0"/>
        <n v="540.0"/>
        <n v="1857.0"/>
        <n v="234.0"/>
        <n v="252.0"/>
        <n v="7008.0"/>
        <n v="224.0"/>
        <n v="443.0"/>
        <n v="1292.0"/>
        <n v="344.0"/>
        <n v="2192.0"/>
        <n v="930.0"/>
        <n v="1416.0"/>
        <n v="5940.0"/>
        <n v="1204.0"/>
        <n v="397.0"/>
        <n v="288.0"/>
        <n v="647.0"/>
        <n v="573.0"/>
        <n v="243.0"/>
        <n v="916.0"/>
        <n v="765.0"/>
        <n v="1481.0"/>
        <n v="1370.0"/>
        <n v="634.0"/>
        <n v="485.0"/>
        <n v="7012.0"/>
        <n v="2855.0"/>
        <n v="1530.0"/>
        <n v="242.0"/>
        <n v="422.0"/>
        <n v="436.0"/>
        <n v="517.0"/>
        <n v="5763.0"/>
        <n v="620.0"/>
        <n v="486.0"/>
        <n v="155.0"/>
        <n v="507.0"/>
        <n v="1744.0"/>
        <n v="541.0"/>
        <n v="859.0"/>
        <n v="339.0"/>
        <n v="1608.0"/>
        <n v="606.0"/>
        <n v="425.0"/>
        <n v="403.0"/>
        <n v="2345.0"/>
        <n v="870.0"/>
        <n v="4800.0"/>
        <n v="846.0"/>
        <n v="1913.0"/>
        <n v="7631.0"/>
        <n v="361.0"/>
        <n v="3855.0"/>
        <n v="6046.0"/>
        <n v="2353.0"/>
        <n v="7504.0"/>
        <n v="106.0"/>
        <n v="724.0"/>
        <n v="289.0"/>
        <n v="73.0"/>
        <n v="1885.0"/>
        <n v="225.0"/>
        <n v="545.0"/>
        <n v="182.0"/>
        <n v="404.0"/>
        <n v="6394.0"/>
        <n v="250.0"/>
        <n v="1447.0"/>
        <n v="2159.0"/>
        <n v="6155.0"/>
        <n v="1870.0"/>
        <n v="68.0"/>
        <n v="86.0"/>
        <n v="637.0"/>
        <n v="110.0"/>
        <n v="342.0"/>
        <n v="5182.0"/>
        <n v="387.0"/>
        <n v="3152.0"/>
        <n v="474.0"/>
        <n v="2223.0"/>
        <n v="1552.0"/>
        <n v="211.0"/>
        <n v="1209.0"/>
        <n v="1298.0"/>
        <n v="412.0"/>
        <n v="170.0"/>
        <n v="336.0"/>
        <n v="604.0"/>
        <n v="574.0"/>
        <n v="4935.0"/>
        <n v="3644.0"/>
        <n v="4252.0"/>
        <n v="2978.0"/>
        <n v="4011.0"/>
        <n v="6969.0"/>
        <n v="358.0"/>
        <n v="432.0"/>
        <n v="4998.0"/>
        <n v="1648.0"/>
        <n v="151.0"/>
        <n v="734.0"/>
        <n v="441.0"/>
        <n v="5360.0"/>
        <n v="163.0"/>
        <n v="4562.0"/>
        <n v="552.0"/>
        <n v="2425.0"/>
        <n v="878.0"/>
        <n v="445.0"/>
        <n v="423.0"/>
        <n v="3348.0"/>
        <n v="1314.0"/>
        <n v="400.0"/>
        <n v="1241.0"/>
        <n v="1496.0"/>
        <n v="359.0"/>
        <n v="303.0"/>
        <n v="4355.0"/>
        <n v="450.0"/>
        <n v="363.0"/>
        <n v="118.0"/>
        <n v="689.0"/>
        <n v="320.0"/>
        <n v="439.0"/>
        <n v="1403.0"/>
        <n v="1494.0"/>
        <n v="635.0"/>
        <n v="1083.0"/>
        <n v="958.0"/>
        <n v="619.0"/>
        <n v="514.0"/>
        <n v="449.0"/>
        <n v="283.0"/>
        <n v="1280.0"/>
        <n v="1125.0"/>
        <n v="461.0"/>
        <n v="217.0"/>
        <n v="1678.0"/>
        <n v="401.0"/>
        <n v="5125.0"/>
        <n v="1356.0"/>
        <n v="271.0"/>
        <n v="7578.0"/>
        <n v="1027.0"/>
        <n v="1291.0"/>
        <n v="219.0"/>
        <n v="107.0"/>
        <n v="374.0"/>
        <n v="1159.0"/>
        <n v="2170.0"/>
        <n v="8433.0"/>
        <n v="1317.0"/>
        <n v="6094.0"/>
        <n v="715.0"/>
        <n v="302.0"/>
        <n v="1179.0"/>
        <n v="292.0"/>
        <n v="5403.0"/>
        <n v="277.0"/>
        <n v="6584.0"/>
        <n v="1624.0"/>
        <n v="703.0"/>
        <n v="1132.0"/>
        <n v="295.0"/>
        <n v="210.0"/>
        <n v="428.0"/>
        <n v="1647.0"/>
        <n v="280.0"/>
        <n v="1331.0"/>
        <n v="2207.0"/>
        <n v="6255.0"/>
        <n v="167.0"/>
        <n v="1393.0"/>
        <n v="663.0"/>
        <n v="447.0"/>
        <n v="294.0"/>
        <n v="7802.0"/>
        <n v="2056.0"/>
        <n v="3083.0"/>
        <n v="652.0"/>
        <n v="180.0"/>
        <n v="196.0"/>
        <n v="3342.0"/>
        <n v="102.0"/>
        <n v="5642.0"/>
        <n v="1540.0"/>
        <n v="177.0"/>
        <n v="615.0"/>
        <n v="120.0"/>
        <n v="1112.0"/>
        <n v="3455.0"/>
        <n v="1801.0"/>
        <n v="1013.0"/>
        <n v="1221.0"/>
        <n v="5570.0"/>
        <n v="1449.0"/>
        <n v="459.0"/>
        <n v="705.0"/>
        <n v="1085.0"/>
        <n v="1854.0"/>
        <n v="279.0"/>
        <n v="160.0"/>
        <n v="4522.0"/>
        <n v="1597.0"/>
        <n v="1859.0"/>
        <n v="1266.0"/>
        <n v="369.0"/>
        <n v="2480.0"/>
        <n v="565.0"/>
        <n v="458.0"/>
        <n v="483.0"/>
        <n v="370.0"/>
        <n v="613.0"/>
        <n v="2491.0"/>
        <n v="92.0"/>
        <n v="137.0"/>
        <n v="799.0"/>
        <n v="536.0"/>
        <n v="1385.0"/>
        <n v="7080.0"/>
        <n v="7686.0"/>
        <n v="191.0"/>
        <n v="3792.0"/>
        <n v="602.0"/>
        <n v="437.0"/>
        <n v="8486.0"/>
        <n v="66.0"/>
        <n v="236.0"/>
        <n v="2890.0"/>
        <n v="1217.0"/>
        <n v="3247.0"/>
        <n v="173.0"/>
        <n v="1490.0"/>
        <n v="465.0"/>
        <n v="1199.0"/>
        <n v="3098.0"/>
        <n v="255.0"/>
        <n v="365.0"/>
        <n v="4330.0"/>
        <n v="1776.0"/>
        <n v="1690.0"/>
        <n v="476.0"/>
        <n v="557.0"/>
        <n v="231.0"/>
      </sharedItems>
    </cacheField>
    <cacheField name="Gross Amount (Rs)" numFmtId="3">
      <sharedItems containsSemiMixedTypes="0" containsString="0" containsNumber="1" containsInteger="1">
        <n v="6828.0"/>
        <n v="25606.0"/>
        <n v="6888.0"/>
        <n v="3990.0"/>
        <n v="12116.0"/>
        <n v="1962.0"/>
        <n v="184.0"/>
        <n v="5590.0"/>
        <n v="5176.0"/>
        <n v="44160.0"/>
        <n v="4862.0"/>
        <n v="6448.0"/>
        <n v="1896.0"/>
        <n v="8125.0"/>
        <n v="1022.0"/>
        <n v="1344.0"/>
        <n v="854.0"/>
        <n v="33465.0"/>
        <n v="8484.0"/>
        <n v="4815.0"/>
        <n v="868.0"/>
        <n v="3018.0"/>
        <n v="1278.0"/>
        <n v="3129.0"/>
        <n v="728.0"/>
        <n v="6646.0"/>
        <n v="4760.0"/>
        <n v="3339.0"/>
        <n v="126.0"/>
        <n v="15678.0"/>
        <n v="17960.0"/>
        <n v="2282.0"/>
        <n v="6000.0"/>
        <n v="7404.0"/>
        <n v="1690.0"/>
        <n v="736.0"/>
        <n v="99.0"/>
        <n v="3382.0"/>
        <n v="1140.0"/>
        <n v="5706.0"/>
        <n v="3530.0"/>
        <n v="11364.0"/>
        <n v="3510.0"/>
        <n v="2704.0"/>
        <n v="11724.0"/>
        <n v="1592.0"/>
        <n v="2466.0"/>
        <n v="24046.0"/>
        <n v="11627.0"/>
        <n v="1617.0"/>
        <n v="1893.0"/>
        <n v="6156.0"/>
        <n v="19908.0"/>
        <n v="21480.0"/>
        <n v="2568.0"/>
        <n v="2390.0"/>
        <n v="1380.0"/>
        <n v="14340.0"/>
        <n v="787.0"/>
        <n v="3654.0"/>
        <n v="41490.0"/>
        <n v="466.0"/>
        <n v="2796.0"/>
        <n v="127.0"/>
        <n v="5230.0"/>
        <n v="5798.0"/>
        <n v="2740.0"/>
        <n v="12222.0"/>
        <n v="2112.0"/>
        <n v="553.0"/>
        <n v="1602.0"/>
        <n v="1195.0"/>
        <n v="3704.0"/>
        <n v="2480.0"/>
        <n v="7924.0"/>
        <n v="5040.0"/>
        <n v="4740.0"/>
        <n v="4417.0"/>
        <n v="53505.0"/>
        <n v="1561.0"/>
        <n v="2332.0"/>
        <n v="2618.0"/>
        <n v="8964.0"/>
        <n v="13236.0"/>
        <n v="17073.0"/>
        <n v="2967.0"/>
        <n v="515.0"/>
        <n v="3588.0"/>
        <n v="93792.0"/>
        <n v="6624.0"/>
        <n v="882.0"/>
        <n v="33195.0"/>
        <n v="11500.0"/>
        <n v="2174.0"/>
        <n v="17880.0"/>
        <n v="3552.0"/>
        <n v="34622.0"/>
        <n v="47944.0"/>
        <n v="7644.0"/>
        <n v="1860.0"/>
        <n v="4768.0"/>
        <n v="9240.0"/>
        <n v="920.0"/>
        <n v="2160.0"/>
        <n v="14067.0"/>
        <n v="7126.0"/>
        <n v="8658.0"/>
        <n v="4858.0"/>
        <n v="12628.0"/>
        <n v="391.0"/>
        <n v="3288.0"/>
        <n v="4230.0"/>
        <n v="45472.0"/>
        <n v="6960.0"/>
        <n v="1848.0"/>
        <n v="3717.0"/>
        <n v="45768.0"/>
        <n v="745.0"/>
        <n v="407.0"/>
        <n v="52536.0"/>
        <n v="5196.0"/>
        <n v="2299.0"/>
        <n v="82605.0"/>
        <n v="6735.0"/>
        <n v="5248.0"/>
        <n v="3744.0"/>
        <n v="8185.0"/>
        <n v="2984.0"/>
        <n v="1540.0"/>
        <n v="31004.0"/>
        <n v="13104.0"/>
        <n v="6192.0"/>
        <n v="3045.0"/>
        <n v="15059.0"/>
        <n v="3913.0"/>
        <n v="3000.0"/>
        <n v="2044.0"/>
        <n v="1107.0"/>
        <n v="2280.0"/>
        <n v="2116.0"/>
        <n v="6480.0"/>
        <n v="14856.0"/>
        <n v="468.0"/>
        <n v="1512.0"/>
        <n v="49056.0"/>
        <n v="1568.0"/>
        <n v="886.0"/>
        <n v="11628.0"/>
        <n v="3440.0"/>
        <n v="13152.0"/>
        <n v="10230.0"/>
        <n v="21240.0"/>
        <n v="47520.0"/>
        <n v="2408.0"/>
        <n v="1191.0"/>
        <n v="4320.0"/>
        <n v="1294.0"/>
        <n v="4584.0"/>
        <n v="1106.0"/>
        <n v="486.0"/>
        <n v="6412.0"/>
        <n v="10710.0"/>
        <n v="8886.0"/>
        <n v="6850.0"/>
        <n v="5072.0"/>
        <n v="5335.0"/>
        <n v="35060.0"/>
        <n v="34260.0"/>
        <n v="4590.0"/>
        <n v="1452.0"/>
        <n v="3376.0"/>
        <n v="4796.0"/>
        <n v="16730.0"/>
        <n v="3619.0"/>
        <n v="57630.0"/>
        <n v="3888.0"/>
        <n v="2015.0"/>
        <n v="2028.0"/>
        <n v="20928.0"/>
        <n v="3246.0"/>
        <n v="859.0"/>
        <n v="3051.0"/>
        <n v="4824.0"/>
        <n v="3030.0"/>
        <n v="3168.0"/>
        <n v="5100.0"/>
        <n v="3224.0"/>
        <n v="2345.0"/>
        <n v="38400.0"/>
        <n v="9306.0"/>
        <n v="17217.0"/>
        <n v="114465.0"/>
        <n v="4693.0"/>
        <n v="23130.0"/>
        <n v="30230.0"/>
        <n v="7059.0"/>
        <n v="75040.0"/>
        <n v="848.0"/>
        <n v="724.0"/>
        <n v="3179.0"/>
        <n v="365.0"/>
        <n v="15080.0"/>
        <n v="3375.0"/>
        <n v="3270.0"/>
        <n v="910.0"/>
        <n v="2020.0"/>
        <n v="12788.0"/>
        <n v="1000.0"/>
        <n v="5788.0"/>
        <n v="21590.0"/>
        <n v="80015.0"/>
        <n v="28050.0"/>
        <n v="680.0"/>
        <n v="1118.0"/>
        <n v="1274.0"/>
        <n v="660.0"/>
        <n v="4446.0"/>
        <n v="5182.0"/>
        <n v="3870.0"/>
        <n v="12608.0"/>
        <n v="5688.0"/>
        <n v="11115.0"/>
        <n v="18624.0"/>
        <n v="1477.0"/>
        <n v="2418.0"/>
        <n v="12980.0"/>
        <n v="4944.0"/>
        <n v="2380.0"/>
        <n v="1680.0"/>
        <n v="9060.0"/>
        <n v="4935.0"/>
        <n v="21864.0"/>
        <n v="4412.0"/>
        <n v="17008.0"/>
        <n v="26802.0"/>
        <n v="24066.0"/>
        <n v="27876.0"/>
        <n v="1432.0"/>
        <n v="4752.0"/>
        <n v="44982.0"/>
        <n v="14832.0"/>
        <n v="1812.0"/>
        <n v="9542.0"/>
        <n v="4851.0"/>
        <n v="10720.0"/>
        <n v="326.0"/>
        <n v="36496.0"/>
        <n v="21825.0"/>
        <n v="3512.0"/>
        <n v="5340.0"/>
        <n v="5499.0"/>
        <n v="33480.0"/>
        <n v="14454.0"/>
        <n v="13651.0"/>
        <n v="5984.0"/>
        <n v="3231.0"/>
        <n v="3333.0"/>
        <n v="56615.0"/>
        <n v="6750.0"/>
        <n v="2178.0"/>
        <n v="354.0"/>
        <n v="6890.0"/>
        <n v="960.0"/>
        <n v="1317.0"/>
        <n v="19642.0"/>
        <n v="16434.0"/>
        <n v="2325.0"/>
        <n v="9525.0"/>
        <n v="3249.0"/>
        <n v="12454.0"/>
        <n v="8047.0"/>
        <n v="4626.0"/>
        <n v="1347.0"/>
        <n v="849.0"/>
        <n v="8960.0"/>
        <n v="9000.0"/>
        <n v="1383.0"/>
        <n v="3570.0"/>
        <n v="2387.0"/>
        <n v="1651.0"/>
        <n v="8390.0"/>
        <n v="14212.0"/>
        <n v="1604.0"/>
        <n v="66625.0"/>
        <n v="1356.0"/>
        <n v="813.0"/>
        <n v="75780.0"/>
        <n v="2054.0"/>
        <n v="11256.0"/>
        <n v="14201.0"/>
        <n v="1752.0"/>
        <n v="107.0"/>
        <n v="374.0"/>
        <n v="10431.0"/>
        <n v="17360.0"/>
        <n v="126495.0"/>
        <n v="7902.0"/>
        <n v="42658.0"/>
        <n v="3575.0"/>
        <n v="2114.0"/>
        <n v="3537.0"/>
        <n v="3504.0"/>
        <n v="54030.0"/>
        <n v="3047.0"/>
        <n v="26336.0"/>
        <n v="7042.0"/>
        <n v="1436.0"/>
        <n v="3248.0"/>
        <n v="1406.0"/>
        <n v="11320.0"/>
        <n v="295.0"/>
        <n v="2940.0"/>
        <n v="6420.0"/>
        <n v="14823.0"/>
        <n v="4200.0"/>
        <n v="6655.0"/>
        <n v="30898.0"/>
        <n v="68805.0"/>
        <n v="2338.0"/>
        <n v="16716.0"/>
        <n v="4641.0"/>
        <n v="4470.0"/>
        <n v="11310.0"/>
        <n v="2352.0"/>
        <n v="78020.0"/>
        <n v="10280.0"/>
        <n v="12332.0"/>
        <n v="9128.0"/>
        <n v="540.0"/>
        <n v="1764.0"/>
        <n v="46788.0"/>
        <n v="510.0"/>
        <n v="11284.0"/>
        <n v="4032.0"/>
        <n v="3920.0"/>
        <n v="20020.0"/>
        <n v="1770.0"/>
        <n v="6150.0"/>
        <n v="4448.0"/>
        <n v="6910.0"/>
        <n v="27015.0"/>
        <n v="1712.0"/>
        <n v="15195.0"/>
        <n v="13431.0"/>
        <n v="72410.0"/>
        <n v="11592.0"/>
        <n v="6885.0"/>
        <n v="9165.0"/>
        <n v="8680.0"/>
        <n v="2790.0"/>
        <n v="1600.0"/>
        <n v="9044.0"/>
        <n v="20761.0"/>
        <n v="1859.0"/>
        <n v="8862.0"/>
        <n v="3321.0"/>
        <n v="16836.0"/>
        <n v="7440.0"/>
        <n v="3720.0"/>
        <n v="4520.0"/>
        <n v="3206.0"/>
        <n v="5313.0"/>
        <n v="1850.0"/>
        <n v="5136.0"/>
        <n v="6130.0"/>
        <n v="9964.0"/>
        <n v="1644.0"/>
        <n v="5593.0"/>
        <n v="1608.0"/>
        <n v="13850.0"/>
        <n v="5070.0"/>
        <n v="56640.0"/>
        <n v="23058.0"/>
        <n v="1910.0"/>
        <n v="18960.0"/>
        <n v="2748.0"/>
        <n v="2856.0"/>
        <n v="4816.0"/>
        <n v="4807.0"/>
        <n v="42430.0"/>
        <n v="462.0"/>
        <n v="2596.0"/>
        <n v="8670.0"/>
        <n v="14604.0"/>
        <n v="3360.0"/>
        <n v="6875.0"/>
        <n v="42211.0"/>
        <n v="1730.0"/>
        <n v="19370.0"/>
        <n v="5580.0"/>
        <n v="3562.0"/>
        <n v="9200.0"/>
        <n v="6968.0"/>
        <n v="2398.0"/>
        <n v="15490.0"/>
        <n v="5564.0"/>
        <n v="3060.0"/>
        <n v="4015.0"/>
        <n v="34640.0"/>
        <n v="8880.0"/>
        <n v="8450.0"/>
        <n v="557.0"/>
        <n v="2541.0"/>
      </sharedItems>
    </cacheField>
    <cacheField name="Discount %" numFmtId="0">
      <sharedItems containsSemiMixedTypes="0" containsString="0" containsNumber="1" containsInteger="1">
        <n v="20.0"/>
        <n v="0.0"/>
        <n v="10.0"/>
        <n v="15.0"/>
        <n v="5.0"/>
      </sharedItems>
    </cacheField>
    <cacheField name="Discount Amount (Rs)" numFmtId="3">
      <sharedItems containsSemiMixedTypes="0" containsString="0" containsNumber="1">
        <n v="1365.6000000000001"/>
        <n v="5121.200000000001"/>
        <n v="1377.6000000000001"/>
        <n v="0.0"/>
        <n v="1212.0"/>
        <n v="392.0"/>
        <n v="28.0"/>
        <n v="8832.0"/>
        <n v="190.0"/>
        <n v="406.0"/>
        <n v="204.0"/>
        <n v="482.0"/>
        <n v="87.0"/>
        <n v="151.0"/>
        <n v="156.0"/>
        <n v="73.0"/>
        <n v="952.0"/>
        <n v="3592.0"/>
        <n v="456.0"/>
        <n v="300.0"/>
        <n v="110.0"/>
        <n v="10.0"/>
        <n v="571.0"/>
        <n v="1136.0"/>
        <n v="176.0"/>
        <n v="135.0"/>
        <n v="1172.0"/>
        <n v="239.0"/>
        <n v="370.0"/>
        <n v="1744.0"/>
        <n v="81.0"/>
        <n v="284.0"/>
        <n v="128.0"/>
        <n v="478.0"/>
        <n v="138.0"/>
        <n v="717.0"/>
        <n v="8298.0"/>
        <n v="47.0"/>
        <n v="140.0"/>
        <n v="160.0"/>
        <n v="120.0"/>
        <n v="792.0"/>
        <n v="663.0"/>
        <n v="2675.0"/>
        <n v="78.0"/>
        <n v="103.0"/>
        <n v="9379.0"/>
        <n v="1325.0"/>
        <n v="88.0"/>
        <n v="575.0"/>
        <n v="326.0"/>
        <n v="894.0"/>
        <n v="1731.0"/>
        <n v="4794.0"/>
        <n v="1529.0"/>
        <n v="359.0"/>
        <n v="1386.0"/>
        <n v="324.0"/>
        <n v="2813.0"/>
        <n v="243.0"/>
        <n v="1263.0"/>
        <n v="39.0"/>
        <n v="164.0"/>
        <n v="634.0"/>
        <n v="9094.0"/>
        <n v="277.0"/>
        <n v="186.0"/>
        <n v="6865.0"/>
        <n v="149.0"/>
        <n v="61.0"/>
        <n v="2627.0"/>
        <n v="779.0"/>
        <n v="345.0"/>
        <n v="8260.0"/>
        <n v="674.0"/>
        <n v="374.0"/>
        <n v="6201.0"/>
        <n v="1966.0"/>
        <n v="196.0"/>
        <n v="600.0"/>
        <n v="317.0"/>
        <n v="1296.0"/>
        <n v="2971.0"/>
        <n v="94.0"/>
        <n v="9811.0"/>
        <n v="133.0"/>
        <n v="688.0"/>
        <n v="1315.0"/>
        <n v="1023.0"/>
        <n v="361.0"/>
        <n v="179.0"/>
        <n v="194.0"/>
        <n v="166.0"/>
        <n v="93.0"/>
        <n v="962.0"/>
        <n v="1606.0"/>
        <n v="507.0"/>
        <n v="267.0"/>
        <n v="5259.0"/>
        <n v="5139.0"/>
        <n v="459.0"/>
        <n v="506.0"/>
        <n v="719.0"/>
        <n v="836.0"/>
        <n v="5763.0"/>
        <n v="124.0"/>
        <n v="101.0"/>
        <n v="649.0"/>
        <n v="86.0"/>
        <n v="1020.0"/>
        <n v="645.0"/>
        <n v="234.0"/>
        <n v="1722.0"/>
        <n v="5723.0"/>
        <n v="939.0"/>
        <n v="1156.0"/>
        <n v="706.0"/>
        <n v="7504.0"/>
        <n v="170.0"/>
        <n v="477.0"/>
        <n v="1508.0"/>
        <n v="182.0"/>
        <n v="202.0"/>
        <n v="1279.0"/>
        <n v="200.0"/>
        <n v="2159.0"/>
        <n v="8002.0"/>
        <n v="68.0"/>
        <n v="127.0"/>
        <n v="132.0"/>
        <n v="1036.0"/>
        <n v="387.0"/>
        <n v="1138.0"/>
        <n v="556.0"/>
        <n v="1298.0"/>
        <n v="476.0"/>
        <n v="906.0"/>
        <n v="494.0"/>
        <n v="4373.0"/>
        <n v="882.0"/>
        <n v="5360.0"/>
        <n v="2407.0"/>
        <n v="5575.0"/>
        <n v="950.0"/>
        <n v="1483.0"/>
        <n v="970.0"/>
        <n v="536.0"/>
        <n v="65.0"/>
        <n v="3650.0"/>
        <n v="534.0"/>
        <n v="550.0"/>
        <n v="5022.0"/>
        <n v="2891.0"/>
        <n v="1200.0"/>
        <n v="2730.0"/>
        <n v="323.0"/>
        <n v="11323.0"/>
        <n v="338.0"/>
        <n v="436.0"/>
        <n v="18.0"/>
        <n v="1378.0"/>
        <n v="192.0"/>
        <n v="2946.0"/>
        <n v="1643.0"/>
        <n v="325.0"/>
        <n v="1245.0"/>
        <n v="463.0"/>
        <n v="42.0"/>
        <n v="900.0"/>
        <n v="178.0"/>
        <n v="330.0"/>
        <n v="1421.0"/>
        <n v="9994.0"/>
        <n v="205.0"/>
        <n v="1126.0"/>
        <n v="2840.0"/>
        <n v="350.0"/>
        <n v="522.0"/>
        <n v="1580.0"/>
        <n v="287.0"/>
        <n v="2264.0"/>
        <n v="30.0"/>
        <n v="2965.0"/>
        <n v="468.0"/>
        <n v="2507.0"/>
        <n v="1028.0"/>
        <n v="2466.0"/>
        <n v="913.0"/>
        <n v="4679.0"/>
        <n v="51.0"/>
        <n v="564.0"/>
        <n v="605.0"/>
        <n v="159.0"/>
        <n v="1001.0"/>
        <n v="354.0"/>
        <n v="890.0"/>
        <n v="346.0"/>
        <n v="4052.0"/>
        <n v="257.0"/>
        <n v="7241.0"/>
        <n v="1159.0"/>
        <n v="1833.0"/>
        <n v="1302.0"/>
        <n v="558.0"/>
        <n v="320.0"/>
        <n v="904.0"/>
        <n v="4152.0"/>
        <n v="886.0"/>
        <n v="842.0"/>
        <n v="372.0"/>
        <n v="531.0"/>
        <n v="278.0"/>
        <n v="1993.0"/>
        <n v="2078.0"/>
        <n v="1014.0"/>
        <n v="8496.0"/>
        <n v="1153.0"/>
        <n v="96.0"/>
        <n v="1896.0"/>
        <n v="286.0"/>
        <n v="963.0"/>
        <n v="389.0"/>
        <n v="730.0"/>
        <n v="672.0"/>
        <n v="1031.0"/>
        <n v="8442.0"/>
        <n v="260.0"/>
        <n v="968.0"/>
        <n v="712.0"/>
        <n v="1840.0"/>
        <n v="1394.0"/>
        <n v="1113.0"/>
        <n v="1425.0"/>
        <n v="1732.0"/>
        <n v="1690.0"/>
        <n v="119.0"/>
        <n v="254.0"/>
      </sharedItems>
    </cacheField>
    <cacheField name="Net Sales (Rs)" numFmtId="3">
      <sharedItems containsSemiMixedTypes="0" containsString="0" containsNumber="1" containsInteger="1">
        <n v="5462.0"/>
        <n v="20485.0"/>
        <n v="6888.0"/>
        <n v="3990.0"/>
        <n v="10904.0"/>
        <n v="1570.0"/>
        <n v="156.0"/>
        <n v="5590.0"/>
        <n v="5176.0"/>
        <n v="35328.0"/>
        <n v="4862.0"/>
        <n v="6448.0"/>
        <n v="1706.0"/>
        <n v="7719.0"/>
        <n v="818.0"/>
        <n v="1344.0"/>
        <n v="854.0"/>
        <n v="33465.0"/>
        <n v="8484.0"/>
        <n v="4333.0"/>
        <n v="781.0"/>
        <n v="2867.0"/>
        <n v="1278.0"/>
        <n v="2973.0"/>
        <n v="655.0"/>
        <n v="6646.0"/>
        <n v="3808.0"/>
        <n v="3339.0"/>
        <n v="126.0"/>
        <n v="15678.0"/>
        <n v="14368.0"/>
        <n v="1826.0"/>
        <n v="5700.0"/>
        <n v="7404.0"/>
        <n v="1690.0"/>
        <n v="626.0"/>
        <n v="89.0"/>
        <n v="3382.0"/>
        <n v="1140.0"/>
        <n v="5135.0"/>
        <n v="3530.0"/>
        <n v="10228.0"/>
        <n v="3334.0"/>
        <n v="2569.0"/>
        <n v="10552.0"/>
        <n v="1353.0"/>
        <n v="2096.0"/>
        <n v="24046.0"/>
        <n v="9883.0"/>
        <n v="1536.0"/>
        <n v="1609.0"/>
        <n v="6156.0"/>
        <n v="19908.0"/>
        <n v="21480.0"/>
        <n v="2440.0"/>
        <n v="1912.0"/>
        <n v="1242.0"/>
        <n v="13623.0"/>
        <n v="787.0"/>
        <n v="2704.0"/>
        <n v="3654.0"/>
        <n v="33192.0"/>
        <n v="419.0"/>
        <n v="2656.0"/>
        <n v="127.0"/>
        <n v="5230.0"/>
        <n v="5798.0"/>
        <n v="2740.0"/>
        <n v="12222.0"/>
        <n v="2112.0"/>
        <n v="553.0"/>
        <n v="1442.0"/>
        <n v="1075.0"/>
        <n v="3704.0"/>
        <n v="2480.0"/>
        <n v="7132.0"/>
        <n v="5040.0"/>
        <n v="4740.0"/>
        <n v="3754.0"/>
        <n v="50830.0"/>
        <n v="1483.0"/>
        <n v="2332.0"/>
        <n v="2618.0"/>
        <n v="8964.0"/>
        <n v="13236.0"/>
        <n v="17073.0"/>
        <n v="2967.0"/>
        <n v="412.0"/>
        <n v="3588.0"/>
        <n v="84413.0"/>
        <n v="5299.0"/>
        <n v="794.0"/>
        <n v="33195.0"/>
        <n v="10925.0"/>
        <n v="1848.0"/>
        <n v="16986.0"/>
        <n v="3552.0"/>
        <n v="32891.0"/>
        <n v="43150.0"/>
        <n v="6115.0"/>
        <n v="3229.0"/>
        <n v="1860.0"/>
        <n v="4768.0"/>
        <n v="7854.0"/>
        <n v="920.0"/>
        <n v="1836.0"/>
        <n v="11254.0"/>
        <n v="7126.0"/>
        <n v="8658.0"/>
        <n v="4615.0"/>
        <n v="11365.0"/>
        <n v="352.0"/>
        <n v="3124.0"/>
        <n v="3596.0"/>
        <n v="36378.0"/>
        <n v="6960.0"/>
        <n v="1571.0"/>
        <n v="3531.0"/>
        <n v="38903.0"/>
        <n v="596.0"/>
        <n v="346.0"/>
        <n v="49909.0"/>
        <n v="4417.0"/>
        <n v="1954.0"/>
        <n v="74345.0"/>
        <n v="6061.0"/>
        <n v="5248.0"/>
        <n v="3370.0"/>
        <n v="8185.0"/>
        <n v="2835.0"/>
        <n v="1540.0"/>
        <n v="24803.0"/>
        <n v="11138.0"/>
        <n v="6192.0"/>
        <n v="3045.0"/>
        <n v="15059.0"/>
        <n v="3717.0"/>
        <n v="2400.0"/>
        <n v="1840.0"/>
        <n v="1107.0"/>
        <n v="1824.0"/>
        <n v="1799.0"/>
        <n v="5184.0"/>
        <n v="11885.0"/>
        <n v="374.0"/>
        <n v="1361.0"/>
        <n v="39245.0"/>
        <n v="1568.0"/>
        <n v="753.0"/>
        <n v="11628.0"/>
        <n v="2752.0"/>
        <n v="11837.0"/>
        <n v="9207.0"/>
        <n v="21240.0"/>
        <n v="47520.0"/>
        <n v="2047.0"/>
        <n v="1012.0"/>
        <n v="4320.0"/>
        <n v="1100.0"/>
        <n v="4584.0"/>
        <n v="940.0"/>
        <n v="1767.0"/>
        <n v="413.0"/>
        <n v="5450.0"/>
        <n v="9104.0"/>
        <n v="8886.0"/>
        <n v="6850.0"/>
        <n v="4565.0"/>
        <n v="5068.0"/>
        <n v="29801.0"/>
        <n v="29121.0"/>
        <n v="4131.0"/>
        <n v="1452.0"/>
        <n v="2870.0"/>
        <n v="4077.0"/>
        <n v="15894.0"/>
        <n v="3619.0"/>
        <n v="51867.0"/>
        <n v="2356.0"/>
        <n v="3888.0"/>
        <n v="1914.0"/>
        <n v="1927.0"/>
        <n v="20928.0"/>
        <n v="2597.0"/>
        <n v="773.0"/>
        <n v="3051.0"/>
        <n v="4824.0"/>
        <n v="3030.0"/>
        <n v="3168.0"/>
        <n v="4080.0"/>
        <n v="2579.0"/>
        <n v="2111.0"/>
        <n v="38400.0"/>
        <n v="9306.0"/>
        <n v="15495.0"/>
        <n v="108742.0"/>
        <n v="21974.0"/>
        <n v="30230.0"/>
        <n v="6353.0"/>
        <n v="67536.0"/>
        <n v="678.0"/>
        <n v="724.0"/>
        <n v="2702.0"/>
        <n v="365.0"/>
        <n v="13572.0"/>
        <n v="2869.0"/>
        <n v="3270.0"/>
        <n v="728.0"/>
        <n v="1818.0"/>
        <n v="11509.0"/>
        <n v="800.0"/>
        <n v="5788.0"/>
        <n v="19431.0"/>
        <n v="72013.0"/>
        <n v="28050.0"/>
        <n v="612.0"/>
        <n v="1118.0"/>
        <n v="1147.0"/>
        <n v="528.0"/>
        <n v="4446.0"/>
        <n v="4146.0"/>
        <n v="3483.0"/>
        <n v="12608.0"/>
        <n v="4550.0"/>
        <n v="10559.0"/>
        <n v="18624.0"/>
        <n v="1477.0"/>
        <n v="2418.0"/>
        <n v="11682.0"/>
        <n v="4944.0"/>
        <n v="1904.0"/>
        <n v="1680.0"/>
        <n v="8154.0"/>
        <n v="4441.0"/>
        <n v="17491.0"/>
        <n v="17008.0"/>
        <n v="21442.0"/>
        <n v="21659.0"/>
        <n v="22301.0"/>
        <n v="1432.0"/>
        <n v="3802.0"/>
        <n v="44982.0"/>
        <n v="13349.0"/>
        <n v="1812.0"/>
        <n v="9065.0"/>
        <n v="3881.0"/>
        <n v="10184.0"/>
        <n v="261.0"/>
        <n v="32846.0"/>
        <n v="21825.0"/>
        <n v="3512.0"/>
        <n v="4806.0"/>
        <n v="4949.0"/>
        <n v="28458.0"/>
        <n v="11563.0"/>
        <n v="4800.0"/>
        <n v="10921.0"/>
        <n v="5984.0"/>
        <n v="2908.0"/>
        <n v="3333.0"/>
        <n v="45292.0"/>
        <n v="6412.0"/>
        <n v="1742.0"/>
        <n v="336.0"/>
        <n v="5512.0"/>
        <n v="768.0"/>
        <n v="1317.0"/>
        <n v="16696.0"/>
        <n v="14791.0"/>
        <n v="2325.0"/>
        <n v="9525.0"/>
        <n v="2924.0"/>
        <n v="11209.0"/>
        <n v="8047.0"/>
        <n v="4163.0"/>
        <n v="1347.0"/>
        <n v="807.0"/>
        <n v="8960.0"/>
        <n v="8100.0"/>
        <n v="1383.0"/>
        <n v="3392.0"/>
        <n v="2387.0"/>
        <n v="1321.0"/>
        <n v="8390.0"/>
        <n v="12791.0"/>
        <n v="1604.0"/>
        <n v="56631.0"/>
        <n v="1356.0"/>
        <n v="813.0"/>
        <n v="75780.0"/>
        <n v="1849.0"/>
        <n v="10130.0"/>
        <n v="11361.0"/>
        <n v="1402.0"/>
        <n v="107.0"/>
        <n v="9909.0"/>
        <n v="17360.0"/>
        <n v="126495.0"/>
        <n v="6322.0"/>
        <n v="42658.0"/>
        <n v="3575.0"/>
        <n v="2114.0"/>
        <n v="3537.0"/>
        <n v="3504.0"/>
        <n v="54030.0"/>
        <n v="3047.0"/>
        <n v="26336.0"/>
        <n v="7042.0"/>
        <n v="1149.0"/>
        <n v="3248.0"/>
        <n v="1406.0"/>
        <n v="9056.0"/>
        <n v="265.0"/>
        <n v="2940.0"/>
        <n v="6420.0"/>
        <n v="11858.0"/>
        <n v="4200.0"/>
        <n v="6655.0"/>
        <n v="30898.0"/>
        <n v="68805.0"/>
        <n v="1870.0"/>
        <n v="14209.0"/>
        <n v="4641.0"/>
        <n v="3576.0"/>
        <n v="11310.0"/>
        <n v="2352.0"/>
        <n v="78020.0"/>
        <n v="9252.0"/>
        <n v="9866.0"/>
        <n v="8215.0"/>
        <n v="459.0"/>
        <n v="2160.0"/>
        <n v="1764.0"/>
        <n v="42109.0"/>
        <n v="10720.0"/>
        <n v="3427.0"/>
        <n v="1433.0"/>
        <n v="3920.0"/>
        <n v="19019.0"/>
        <n v="1416.0"/>
        <n v="6150.0"/>
        <n v="960.0"/>
        <n v="3558.0"/>
        <n v="6564.0"/>
        <n v="22963.0"/>
        <n v="1455.0"/>
        <n v="15195.0"/>
        <n v="13431.0"/>
        <n v="65169.0"/>
        <n v="10433.0"/>
        <n v="6885.0"/>
        <n v="7332.0"/>
        <n v="7378.0"/>
        <n v="14832.0"/>
        <n v="2232.0"/>
        <n v="1280.0"/>
        <n v="8140.0"/>
        <n v="16609.0"/>
        <n v="1673.0"/>
        <n v="7976.0"/>
        <n v="3321.0"/>
        <n v="15994.0"/>
        <n v="7440.0"/>
        <n v="3348.0"/>
        <n v="4520.0"/>
        <n v="3206.0"/>
        <n v="4782.0"/>
        <n v="1572.0"/>
        <n v="4879.0"/>
        <n v="6130.0"/>
        <n v="7971.0"/>
        <n v="736.0"/>
        <n v="1480.0"/>
        <n v="5593.0"/>
        <n v="1608.0"/>
        <n v="11772.0"/>
        <n v="4056.0"/>
        <n v="48144.0"/>
        <n v="21905.0"/>
        <n v="1814.0"/>
        <n v="17064.0"/>
        <n v="2198.0"/>
        <n v="2570.0"/>
        <n v="3853.0"/>
        <n v="4807.0"/>
        <n v="42430.0"/>
        <n v="462.0"/>
        <n v="2207.0"/>
        <n v="8670.0"/>
        <n v="13874.0"/>
        <n v="2688.0"/>
        <n v="5844.0"/>
        <n v="33769.0"/>
        <n v="1470.0"/>
        <n v="18402.0"/>
        <n v="5580.0"/>
        <n v="2850.0"/>
        <n v="7360.0"/>
        <n v="5574.0"/>
        <n v="2278.0"/>
        <n v="15490.0"/>
        <n v="6750.0"/>
        <n v="4451.0"/>
        <n v="5701.0"/>
        <n v="3060.0"/>
        <n v="4015.0"/>
        <n v="32908.0"/>
        <n v="8880.0"/>
        <n v="6760.0"/>
        <n v="2261.0"/>
        <n v="557.0"/>
        <n v="2287.0"/>
      </sharedItems>
    </cacheField>
    <cacheField name="Sales Rep" numFmtId="0">
      <sharedItems>
        <s v="Ananya Iyer"/>
        <s v="Pooja Reddy"/>
        <s v="Kavita Nair"/>
        <s v="Vikram Malhotra"/>
        <s v="Amit Singh"/>
        <s v="Priya Verma"/>
        <s v="Rohit Sharma"/>
        <s v="Deepak Yadav"/>
        <s v="Sanjay Rao"/>
        <s v="Neha Gupta"/>
      </sharedItems>
    </cacheField>
    <cacheField name="Payment Mode" numFmtId="0">
      <sharedItems>
        <s v="Cash"/>
        <s v="Credit Card"/>
        <s v="Net Banking"/>
        <s v="UPI"/>
        <s v="Debit Card"/>
      </sharedItems>
    </cacheField>
    <cacheField name="Customer Type" numFmtId="0">
      <sharedItems>
        <s v="Wholesale"/>
        <s v="Online"/>
        <s v="Retail"/>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421" sheet="Sheet11"/>
  </cacheSource>
  <cacheFields>
    <cacheField name="orderId" numFmtId="0">
      <sharedItems containsSemiMixedTypes="0" containsString="0" containsNumber="1" containsInteger="1">
        <n v="20390.0"/>
        <n v="20048.0"/>
        <n v="20221.0"/>
        <n v="20164.0"/>
        <n v="20378.0"/>
        <n v="20207.0"/>
        <n v="20366.0"/>
        <n v="20117.0"/>
        <n v="20129.0"/>
        <n v="20053.0"/>
        <n v="20140.0"/>
        <n v="20287.0"/>
        <n v="20328.0"/>
        <n v="20033.0"/>
        <n v="20403.0"/>
        <n v="20276.0"/>
        <n v="20008.0"/>
        <n v="20290.0"/>
        <n v="20240.0"/>
        <n v="20037.0"/>
        <n v="20082.0"/>
        <n v="20086.0"/>
        <n v="20196.0"/>
        <n v="20113.0"/>
        <n v="20256.0"/>
        <n v="20261.0"/>
        <n v="20014.0"/>
        <n v="20147.0"/>
        <n v="20205.0"/>
        <n v="20172.0"/>
        <n v="20263.0"/>
        <n v="20303.0"/>
        <n v="20085.0"/>
        <n v="20267.0"/>
        <n v="20026.0"/>
        <n v="20042.0"/>
        <n v="20123.0"/>
        <n v="20154.0"/>
        <n v="20189.0"/>
        <n v="20359.0"/>
        <n v="20273.0"/>
        <n v="20119.0"/>
        <n v="20060.0"/>
        <n v="20075.0"/>
        <n v="20320.0"/>
        <n v="20250.0"/>
        <n v="20336.0"/>
        <n v="20068.0"/>
        <n v="20006.0"/>
        <n v="20083.0"/>
        <n v="20130.0"/>
        <n v="20254.0"/>
        <n v="20410.0"/>
        <n v="20028.0"/>
        <n v="20227.0"/>
        <n v="20367.0"/>
        <n v="20393.0"/>
        <n v="20103.0"/>
        <n v="20138.0"/>
        <n v="20298.0"/>
        <n v="20335.0"/>
        <n v="20200.0"/>
        <n v="20395.0"/>
        <n v="20144.0"/>
        <n v="20248.0"/>
        <n v="20369.0"/>
        <n v="20166.0"/>
        <n v="20349.0"/>
        <n v="20155.0"/>
        <n v="20277.0"/>
        <n v="20324.0"/>
        <n v="20257.0"/>
        <n v="20235.0"/>
        <n v="20190.0"/>
        <n v="20236.0"/>
        <n v="20160.0"/>
        <n v="20031.0"/>
        <n v="20377.0"/>
        <n v="20413.0"/>
        <n v="20057.0"/>
        <n v="20330.0"/>
        <n v="20152.0"/>
        <n v="20264.0"/>
        <n v="20162.0"/>
        <n v="20184.0"/>
        <n v="20309.0"/>
        <n v="20181.0"/>
        <n v="20312.0"/>
        <n v="20093.0"/>
        <n v="20337.0"/>
        <n v="20319.0"/>
        <n v="20357.0"/>
        <n v="20073.0"/>
        <n v="20087.0"/>
        <n v="20389.0"/>
        <n v="20365.0"/>
        <n v="20111.0"/>
        <n v="20412.0"/>
        <n v="20059.0"/>
        <n v="20142.0"/>
        <n v="20408.0"/>
        <n v="20215.0"/>
        <n v="20299.0"/>
        <n v="20383.0"/>
        <n v="20347.0"/>
        <n v="20392.0"/>
        <n v="20020.0"/>
        <n v="20120.0"/>
        <n v="20013.0"/>
        <n v="20034.0"/>
        <n v="20222.0"/>
        <n v="20313.0"/>
        <n v="20174.0"/>
        <n v="20351.0"/>
        <n v="20302.0"/>
        <n v="20063.0"/>
        <n v="20106.0"/>
        <n v="20258.0"/>
        <n v="20275.0"/>
        <n v="20043.0"/>
        <n v="20049.0"/>
        <n v="20061.0"/>
        <n v="20289.0"/>
        <n v="20078.0"/>
        <n v="20197.0"/>
        <n v="20211.0"/>
        <n v="20334.0"/>
        <n v="20194.0"/>
        <n v="20183.0"/>
        <n v="20161.0"/>
        <n v="20193.0"/>
        <n v="20406.0"/>
        <n v="20027.0"/>
        <n v="20058.0"/>
        <n v="20280.0"/>
        <n v="20045.0"/>
        <n v="20292.0"/>
        <n v="20310.0"/>
        <n v="20101.0"/>
        <n v="20133.0"/>
        <n v="20414.0"/>
        <n v="20198.0"/>
        <n v="20262.0"/>
        <n v="20051.0"/>
        <n v="20401.0"/>
        <n v="20381.0"/>
        <n v="20102.0"/>
        <n v="20145.0"/>
        <n v="20245.0"/>
        <n v="20247.0"/>
        <n v="20282.0"/>
        <n v="20114.0"/>
        <n v="20035.0"/>
        <n v="20223.0"/>
        <n v="20136.0"/>
        <n v="20175.0"/>
        <n v="20224.0"/>
        <n v="20346.0"/>
        <n v="20294.0"/>
        <n v="20180.0"/>
        <n v="20038.0"/>
        <n v="20220.0"/>
        <n v="20089.0"/>
        <n v="20195.0"/>
        <n v="20307.0"/>
        <n v="20373.0"/>
        <n v="20143.0"/>
        <n v="20023.0"/>
        <n v="20107.0"/>
        <n v="20405.0"/>
        <n v="20025.0"/>
        <n v="20212.0"/>
        <n v="20266.0"/>
        <n v="20317.0"/>
        <n v="20040.0"/>
        <n v="20118.0"/>
        <n v="20218.0"/>
        <n v="20168.0"/>
        <n v="20187.0"/>
        <n v="20246.0"/>
        <n v="20231.0"/>
        <n v="20342.0"/>
        <n v="20030.0"/>
        <n v="20074.0"/>
        <n v="20323.0"/>
        <n v="20415.0"/>
        <n v="20288.0"/>
        <n v="20316.0"/>
        <n v="20295.0"/>
        <n v="20080.0"/>
        <n v="20029.0"/>
        <n v="20125.0"/>
        <n v="20173.0"/>
        <n v="20229.0"/>
        <n v="20418.0"/>
        <n v="20300.0"/>
        <n v="20291.0"/>
        <n v="20241.0"/>
        <n v="20360.0"/>
        <n v="20091.0"/>
        <n v="20139.0"/>
        <n v="20284.0"/>
        <n v="20274.0"/>
        <n v="20332.0"/>
        <n v="20249.0"/>
        <n v="20297.0"/>
        <n v="20374.0"/>
        <n v="20380.0"/>
        <n v="20092.0"/>
        <n v="20131.0"/>
        <n v="20094.0"/>
        <n v="20233.0"/>
        <n v="20411.0"/>
        <n v="20110.0"/>
        <n v="20153.0"/>
        <n v="20252.0"/>
        <n v="20097.0"/>
        <n v="20202.0"/>
        <n v="20126.0"/>
        <n v="20271.0"/>
        <n v="20135.0"/>
        <n v="20199.0"/>
        <n v="20388.0"/>
        <n v="20004.0"/>
        <n v="20279.0"/>
        <n v="20213.0"/>
        <n v="20397.0"/>
        <n v="20150.0"/>
        <n v="20022.0"/>
        <n v="20216.0"/>
        <n v="20163.0"/>
        <n v="20409.0"/>
        <n v="20090.0"/>
        <n v="20115.0"/>
        <n v="20420.0"/>
        <n v="20104.0"/>
        <n v="20096.0"/>
        <n v="20269.0"/>
        <n v="20296.0"/>
        <n v="20322.0"/>
        <n v="20394.0"/>
        <n v="20203.0"/>
        <n v="20308.0"/>
        <n v="20002.0"/>
        <n v="20019.0"/>
        <n v="20116.0"/>
        <n v="20217.0"/>
        <n v="20012.0"/>
        <n v="20338.0"/>
        <n v="20339.0"/>
        <n v="20098.0"/>
        <n v="20278.0"/>
        <n v="20146.0"/>
        <n v="20003.0"/>
        <n v="20225.0"/>
        <n v="20069.0"/>
        <n v="20232.0"/>
        <n v="20151.0"/>
        <n v="20350.0"/>
        <n v="20099.0"/>
        <n v="20185.0"/>
        <n v="20188.0"/>
        <n v="20009.0"/>
        <n v="20348.0"/>
        <n v="20124.0"/>
        <n v="20417.0"/>
        <n v="20358.0"/>
        <n v="20052.0"/>
        <n v="20065.0"/>
        <n v="20321.0"/>
        <n v="20079.0"/>
        <n v="20265.0"/>
        <n v="20015.0"/>
        <n v="20169.0"/>
        <n v="20301.0"/>
        <n v="20352.0"/>
        <n v="20384.0"/>
        <n v="20081.0"/>
        <n v="20379.0"/>
        <n v="20382.0"/>
        <n v="20238.0"/>
        <n v="20010.0"/>
        <n v="20293.0"/>
        <n v="20343.0"/>
        <n v="20167.0"/>
        <n v="20206.0"/>
        <n v="20134.0"/>
        <n v="20182.0"/>
        <n v="20363.0"/>
        <n v="20404.0"/>
        <n v="20076.0"/>
        <n v="20156.0"/>
        <n v="20398.0"/>
        <n v="20315.0"/>
        <n v="20304.0"/>
        <n v="20208.0"/>
        <n v="20186.0"/>
        <n v="20281.0"/>
        <n v="20011.0"/>
        <n v="20112.0"/>
        <n v="20270.0"/>
        <n v="20325.0"/>
        <n v="20056.0"/>
        <n v="20192.0"/>
        <n v="20179.0"/>
        <n v="20201.0"/>
        <n v="20368.0"/>
        <n v="20259.0"/>
        <n v="20305.0"/>
        <n v="20176.0"/>
        <n v="20191.0"/>
        <n v="20239.0"/>
        <n v="20364.0"/>
        <n v="20046.0"/>
        <n v="20362.0"/>
        <n v="20047.0"/>
        <n v="20354.0"/>
        <n v="20371.0"/>
        <n v="20005.0"/>
        <n v="20210.0"/>
        <n v="20100.0"/>
        <n v="20255.0"/>
        <n v="20108.0"/>
        <n v="20341.0"/>
        <n v="20165.0"/>
        <n v="20285.0"/>
        <n v="20209.0"/>
        <n v="20039.0"/>
        <n v="20318.0"/>
        <n v="20149.0"/>
        <n v="20402.0"/>
        <n v="20416.0"/>
        <n v="20170.0"/>
        <n v="20157.0"/>
        <n v="20387.0"/>
        <n v="20283.0"/>
        <n v="20234.0"/>
        <n v="20419.0"/>
        <n v="20017.0"/>
        <n v="20070.0"/>
        <n v="20326.0"/>
        <n v="20391.0"/>
        <n v="20024.0"/>
        <n v="20044.0"/>
        <n v="20071.0"/>
        <n v="20128.0"/>
        <n v="20036.0"/>
        <n v="20072.0"/>
        <n v="20109.0"/>
        <n v="20286.0"/>
        <n v="20344.0"/>
        <n v="20054.0"/>
        <n v="20375.0"/>
        <n v="20137.0"/>
        <n v="20314.0"/>
        <n v="20214.0"/>
        <n v="20242.0"/>
        <n v="20067.0"/>
        <n v="20306.0"/>
        <n v="20331.0"/>
        <n v="20237.0"/>
        <n v="20345.0"/>
        <n v="20050.0"/>
        <n v="20268.0"/>
        <n v="20122.0"/>
        <n v="20066.0"/>
        <n v="20385.0"/>
        <n v="20376.0"/>
        <n v="20105.0"/>
        <n v="20356.0"/>
        <n v="20007.0"/>
        <n v="20311.0"/>
        <n v="20396.0"/>
        <n v="20177.0"/>
        <n v="20226.0"/>
        <n v="20001.0"/>
        <n v="20204.0"/>
        <n v="20148.0"/>
        <n v="20370.0"/>
        <n v="20016.0"/>
        <n v="20253.0"/>
        <n v="20260.0"/>
        <n v="20021.0"/>
        <n v="20158.0"/>
        <n v="20178.0"/>
        <n v="20121.0"/>
        <n v="20244.0"/>
        <n v="20372.0"/>
        <n v="20399.0"/>
        <n v="20141.0"/>
        <n v="20329.0"/>
        <n v="20386.0"/>
        <n v="20041.0"/>
        <n v="20272.0"/>
        <n v="20355.0"/>
        <n v="20088.0"/>
        <n v="20018.0"/>
        <n v="20340.0"/>
        <n v="20361.0"/>
        <n v="20333.0"/>
        <n v="20353.0"/>
        <n v="20095.0"/>
        <n v="20407.0"/>
        <n v="20127.0"/>
        <n v="20132.0"/>
        <n v="20228.0"/>
        <n v="20032.0"/>
        <n v="20159.0"/>
        <n v="20219.0"/>
        <n v="20327.0"/>
        <n v="20055.0"/>
        <n v="20084.0"/>
        <n v="20251.0"/>
        <n v="20077.0"/>
        <n v="20171.0"/>
        <n v="20062.0"/>
        <n v="20243.0"/>
        <n v="20400.0"/>
        <n v="20064.0"/>
        <n v="20230.0"/>
      </sharedItems>
    </cacheField>
    <cacheField name="Order Date" numFmtId="164">
      <sharedItems containsSemiMixedTypes="0" containsDate="1" containsString="0">
        <d v="2025-01-01T00:00:00Z"/>
        <d v="2025-01-04T00:00:00Z"/>
        <d v="2025-01-05T00:00:00Z"/>
        <d v="2025-01-06T00:00:00Z"/>
        <d v="2025-01-09T00:00:00Z"/>
        <d v="2025-01-10T00:00:00Z"/>
        <d v="2025-01-11T00:00:00Z"/>
        <d v="2025-01-12T00:00:00Z"/>
        <d v="2025-01-13T00:00:00Z"/>
        <d v="2025-01-15T00:00:00Z"/>
        <d v="2025-01-16T00:00:00Z"/>
        <d v="2025-01-17T00:00:00Z"/>
        <d v="2025-01-22T00:00:00Z"/>
        <d v="2025-01-23T00:00:00Z"/>
        <d v="2025-01-24T00:00:00Z"/>
        <d v="2025-01-25T00:00:00Z"/>
        <d v="2025-01-27T00:00:00Z"/>
        <d v="2025-01-28T00:00:00Z"/>
        <d v="2025-01-29T00:00:00Z"/>
        <d v="2025-01-30T00:00:00Z"/>
        <d v="2025-01-31T00:00:00Z"/>
        <d v="2025-02-01T00:00:00Z"/>
        <d v="2025-02-02T00:00:00Z"/>
        <d v="2025-02-04T00:00:00Z"/>
        <d v="2025-02-05T00:00:00Z"/>
        <d v="2025-02-07T00:00:00Z"/>
        <d v="2025-02-08T00:00:00Z"/>
        <d v="2025-02-10T00:00:00Z"/>
        <d v="2025-02-13T00:00:00Z"/>
        <d v="2025-02-15T00:00:00Z"/>
        <d v="2025-02-16T00:00:00Z"/>
        <d v="2025-02-17T00:00:00Z"/>
        <d v="2025-02-20T00:00:00Z"/>
        <d v="2025-02-21T00:00:00Z"/>
        <d v="2025-02-23T00:00:00Z"/>
        <d v="2025-02-24T00:00:00Z"/>
        <d v="2025-02-25T00:00:00Z"/>
        <d v="2025-02-26T00:00:00Z"/>
        <d v="2025-03-01T00:00:00Z"/>
        <d v="2025-03-02T00:00:00Z"/>
        <d v="2025-03-05T00:00:00Z"/>
        <d v="2025-03-07T00:00:00Z"/>
        <d v="2025-03-08T00:00:00Z"/>
        <d v="2025-03-09T00:00:00Z"/>
        <d v="2025-03-10T00:00:00Z"/>
        <d v="2025-03-11T00:00:00Z"/>
        <d v="2025-03-12T00:00:00Z"/>
        <d v="2025-03-15T00:00:00Z"/>
        <d v="2025-03-18T00:00:00Z"/>
        <d v="2025-03-20T00:00:00Z"/>
        <d v="2025-03-22T00:00:00Z"/>
        <d v="2025-03-23T00:00:00Z"/>
        <d v="2025-03-25T00:00:00Z"/>
        <d v="2025-03-26T00:00:00Z"/>
        <d v="2025-03-27T00:00:00Z"/>
        <d v="2025-03-29T00:00:00Z"/>
        <d v="2025-03-30T00:00:00Z"/>
        <d v="2025-03-31T00:00:00Z"/>
        <d v="2025-04-01T00:00:00Z"/>
        <d v="2025-04-02T00:00:00Z"/>
        <d v="2025-04-03T00:00:00Z"/>
        <d v="2025-04-04T00:00:00Z"/>
        <d v="2025-04-06T00:00:00Z"/>
        <d v="2025-04-07T00:00:00Z"/>
        <d v="2025-04-08T00:00:00Z"/>
        <d v="2025-04-10T00:00:00Z"/>
        <d v="2025-04-12T00:00:00Z"/>
        <d v="2025-04-13T00:00:00Z"/>
        <d v="2025-04-16T00:00:00Z"/>
        <d v="2025-04-17T00:00:00Z"/>
        <d v="2025-04-18T00:00:00Z"/>
        <d v="2025-04-19T00:00:00Z"/>
        <d v="2025-04-21T00:00:00Z"/>
        <d v="2025-04-23T00:00:00Z"/>
        <d v="2025-04-24T00:00:00Z"/>
        <d v="2025-04-25T00:00:00Z"/>
        <d v="2025-04-26T00:00:00Z"/>
        <d v="2025-04-28T00:00:00Z"/>
        <d v="2025-04-29T00:00:00Z"/>
        <d v="2025-04-30T00:00:00Z"/>
        <d v="2025-05-01T00:00:00Z"/>
        <d v="2025-05-04T00:00:00Z"/>
        <d v="2025-05-06T00:00:00Z"/>
        <d v="2025-05-07T00:00:00Z"/>
        <d v="2025-05-08T00:00:00Z"/>
        <d v="2025-05-09T00:00:00Z"/>
        <d v="2025-05-11T00:00:00Z"/>
        <d v="2025-05-13T00:00:00Z"/>
        <d v="2025-05-14T00:00:00Z"/>
        <d v="2025-05-15T00:00:00Z"/>
        <d v="2025-05-16T00:00:00Z"/>
        <d v="2025-05-17T00:00:00Z"/>
        <d v="2025-05-18T00:00:00Z"/>
        <d v="2025-05-19T00:00:00Z"/>
        <d v="2025-05-20T00:00:00Z"/>
        <d v="2025-05-23T00:00:00Z"/>
        <d v="2025-05-24T00:00:00Z"/>
        <d v="2025-05-27T00:00:00Z"/>
        <d v="2025-05-29T00:00:00Z"/>
        <d v="2025-05-30T00:00:00Z"/>
        <d v="2025-05-31T00:00:00Z"/>
        <d v="2025-06-02T00:00:00Z"/>
        <d v="2025-06-03T00:00:00Z"/>
        <d v="2025-06-04T00:00:00Z"/>
        <d v="2025-06-05T00:00:00Z"/>
        <d v="2025-06-06T00:00:00Z"/>
        <d v="2025-06-08T00:00:00Z"/>
        <d v="2025-06-10T00:00:00Z"/>
        <d v="2025-06-11T00:00:00Z"/>
        <d v="2025-06-13T00:00:00Z"/>
        <d v="2025-06-14T00:00:00Z"/>
        <d v="2025-06-16T00:00:00Z"/>
        <d v="2025-06-17T00:00:00Z"/>
        <d v="2025-06-19T00:00:00Z"/>
        <d v="2025-06-20T00:00:00Z"/>
        <d v="2025-06-21T00:00:00Z"/>
        <d v="2025-06-22T00:00:00Z"/>
        <d v="2025-06-23T00:00:00Z"/>
        <d v="2025-06-24T00:00:00Z"/>
        <d v="2025-06-25T00:00:00Z"/>
        <d v="2025-06-26T00:00:00Z"/>
        <d v="2025-06-27T00:00:00Z"/>
        <d v="2025-06-28T00:00:00Z"/>
        <d v="2025-06-30T00:00:00Z"/>
        <d v="2025-07-01T00:00:00Z"/>
        <d v="2025-07-03T00:00:00Z"/>
        <d v="2025-07-04T00:00:00Z"/>
        <d v="2025-07-06T00:00:00Z"/>
        <d v="2025-07-07T00:00:00Z"/>
        <d v="2025-07-08T00:00:00Z"/>
        <d v="2025-07-09T00:00:00Z"/>
        <d v="2025-07-10T00:00:00Z"/>
        <d v="2025-07-11T00:00:00Z"/>
        <d v="2025-07-13T00:00:00Z"/>
        <d v="2025-07-14T00:00:00Z"/>
        <d v="2025-07-15T00:00:00Z"/>
        <d v="2025-07-16T00:00:00Z"/>
        <d v="2025-07-18T00:00:00Z"/>
        <d v="2025-07-19T00:00:00Z"/>
        <d v="2025-07-21T00:00:00Z"/>
        <d v="2025-07-22T00:00:00Z"/>
        <d v="2025-07-23T00:00:00Z"/>
        <d v="2025-07-25T00:00:00Z"/>
        <d v="2025-07-29T00:00:00Z"/>
        <d v="2025-07-31T00:00:00Z"/>
        <d v="2025-08-02T00:00:00Z"/>
        <d v="2025-08-05T00:00:00Z"/>
        <d v="2025-08-09T00:00:00Z"/>
        <d v="2025-08-11T00:00:00Z"/>
        <d v="2025-08-13T00:00:00Z"/>
        <d v="2025-08-14T00:00:00Z"/>
        <d v="2025-08-16T00:00:00Z"/>
        <d v="2025-08-17T00:00:00Z"/>
        <d v="2025-08-18T00:00:00Z"/>
        <d v="2025-08-19T00:00:00Z"/>
        <d v="2025-08-20T00:00:00Z"/>
        <d v="2025-08-21T00:00:00Z"/>
        <d v="2025-08-22T00:00:00Z"/>
        <d v="2025-08-23T00:00:00Z"/>
        <d v="2025-08-25T00:00:00Z"/>
        <d v="2025-08-26T00:00:00Z"/>
        <d v="2025-08-27T00:00:00Z"/>
        <d v="2025-08-29T00:00:00Z"/>
        <d v="2025-08-30T00:00:00Z"/>
        <d v="2025-09-01T00:00:00Z"/>
        <d v="2025-09-03T00:00:00Z"/>
        <d v="2025-09-05T00:00:00Z"/>
        <d v="2025-09-07T00:00:00Z"/>
        <d v="2025-09-09T00:00:00Z"/>
        <d v="2025-09-10T00:00:00Z"/>
        <d v="2025-09-13T00:00:00Z"/>
        <d v="2025-09-14T00:00:00Z"/>
        <d v="2025-09-16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9T00:00:00Z"/>
        <d v="2025-10-10T00:00:00Z"/>
        <d v="2025-10-11T00:00:00Z"/>
        <d v="2025-10-12T00:00:00Z"/>
        <d v="2025-10-13T00:00:00Z"/>
        <d v="2025-10-15T00:00:00Z"/>
        <d v="2025-10-16T00:00:00Z"/>
        <d v="2025-10-17T00:00:00Z"/>
        <d v="2025-10-19T00:00:00Z"/>
        <d v="2025-10-20T00:00:00Z"/>
        <d v="2025-10-21T00:00:00Z"/>
        <d v="2025-10-22T00:00:00Z"/>
        <d v="2025-10-24T00:00:00Z"/>
        <d v="2025-10-25T00:00:00Z"/>
        <d v="2025-10-26T00:00:00Z"/>
        <d v="2025-10-27T00:00:00Z"/>
        <d v="2025-10-28T00:00:00Z"/>
        <d v="2025-10-29T00:00:00Z"/>
        <d v="2025-11-01T00:00:00Z"/>
        <d v="2025-11-02T00:00:00Z"/>
        <d v="2025-11-03T00:00:00Z"/>
        <d v="2025-11-04T00:00:00Z"/>
        <d v="2025-11-05T00:00:00Z"/>
        <d v="2025-11-06T00:00:00Z"/>
        <d v="2025-11-07T00:00:00Z"/>
        <d v="2025-11-08T00:00:00Z"/>
        <d v="2025-11-11T00:00:00Z"/>
        <d v="2025-11-12T00:00:00Z"/>
        <d v="2025-11-13T00:00:00Z"/>
        <d v="2025-11-14T00:00:00Z"/>
        <d v="2025-11-15T00:00:00Z"/>
        <d v="2025-11-18T00:00:00Z"/>
        <d v="2025-11-19T00:00:00Z"/>
        <d v="2025-11-20T00:00:00Z"/>
        <d v="2025-11-21T00:00:00Z"/>
        <d v="2025-11-22T00:00:00Z"/>
        <d v="2025-11-23T00:00:00Z"/>
        <d v="2025-11-24T00:00:00Z"/>
        <d v="2025-11-25T00:00:00Z"/>
        <d v="2025-11-27T00:00:00Z"/>
        <d v="2025-11-29T00:00:00Z"/>
        <d v="2025-11-30T00:00:00Z"/>
        <d v="2025-12-01T00:00:00Z"/>
        <d v="2025-12-02T00:00:00Z"/>
        <d v="2025-12-03T00:00:00Z"/>
        <d v="2025-12-05T00:00:00Z"/>
        <d v="2025-12-06T00:00:00Z"/>
        <d v="2025-12-07T00:00:00Z"/>
        <d v="2025-12-08T00:00:00Z"/>
        <d v="2025-12-09T00:00:00Z"/>
        <d v="2025-12-10T00:00:00Z"/>
        <d v="2025-12-12T00:00:00Z"/>
        <d v="2025-12-13T00:00:00Z"/>
        <d v="2025-12-14T00:00:00Z"/>
        <d v="2025-12-16T00:00:00Z"/>
        <d v="2025-12-17T00:00:00Z"/>
        <d v="2025-12-18T00:00:00Z"/>
        <d v="2025-12-20T00:00:00Z"/>
        <d v="2025-12-21T00:00:00Z"/>
        <d v="2025-12-23T00:00:00Z"/>
        <d v="2025-12-24T00:00:00Z"/>
        <d v="2025-12-25T00:00:00Z"/>
        <d v="2025-12-26T00:00:00Z"/>
        <d v="2025-12-27T00:00:00Z"/>
        <d v="2025-12-29T00:00:00Z"/>
        <d v="2025-12-30T00:00:00Z"/>
      </sharedItems>
    </cacheField>
    <cacheField name="City" numFmtId="0">
      <sharedItems>
        <s v="Kolkata"/>
        <s v="Kochi"/>
        <s v="Chandigarh"/>
        <s v="Surat"/>
        <s v="Bengaluru"/>
        <s v="Bhubaneswar"/>
        <s v="Mumbai"/>
        <s v="Pune"/>
        <s v="Guwahati"/>
        <s v="Hyderabad"/>
        <s v="Patna"/>
        <s v="Chennai"/>
        <s v="Lucknow"/>
        <s v="Gurugram"/>
        <s v="Delhi"/>
        <s v="Ahmedabad"/>
      </sharedItems>
    </cacheField>
    <cacheField name="Region" numFmtId="0">
      <sharedItems>
        <s v="North"/>
        <s v="South"/>
        <s v="East"/>
        <s v="West"/>
      </sharedItems>
    </cacheField>
    <cacheField name="Category" numFmtId="0">
      <sharedItems>
        <s v="Groceries"/>
        <s v="Home &amp; Kitchen"/>
        <s v="Apparel"/>
        <s v="Personal Care"/>
        <s v="Electronics"/>
      </sharedItems>
    </cacheField>
    <cacheField name="Product" numFmtId="0">
      <sharedItems>
        <s v="Storage Container Set"/>
        <s v="Denim Jeans"/>
        <s v="Formal Shirt"/>
        <s v="Face Wash"/>
        <s v="Steel Dinner Set"/>
        <s v="Water Bottle 1L"/>
        <s v="Sugar 1kg"/>
        <s v="Mustard Oil 1L"/>
        <s v="Women Saree"/>
        <s v="Mixer Grinder"/>
        <s v="Shampoo 200ml"/>
        <s v="Soap Pack of 4"/>
        <s v="Toothpaste 200g"/>
        <s v="Hair Oil 200ml"/>
        <s v="Bluetooth Speaker"/>
        <s v="LED TV 32in"/>
        <s v="Non-stick Tawa"/>
        <s v="Tea Powder 500g"/>
        <s v="Kids T-Shirt"/>
        <s v="Cotton Dupatta"/>
        <s v="Toor Dal 1kg"/>
        <s v="Ceiling Fan"/>
        <s v="Men Kurta"/>
        <s v="Bedsheet Set"/>
        <s v="Basmati Rice 5kg"/>
        <s v="Iron Box"/>
        <s v="Pressure Cooker"/>
        <s v="Atta 10kg"/>
      </sharedItems>
    </cacheField>
    <cacheField name="Qty Sold" numFmtId="0">
      <sharedItems containsSemiMixedTypes="0" containsString="0" containsNumber="1" containsInteger="1">
        <n v="6.0"/>
        <n v="14.0"/>
        <n v="7.0"/>
        <n v="15.0"/>
        <n v="13.0"/>
        <n v="1.0"/>
        <n v="10.0"/>
        <n v="4.0"/>
        <n v="8.0"/>
        <n v="11.0"/>
        <n v="12.0"/>
        <n v="2.0"/>
        <n v="9.0"/>
        <n v="3.0"/>
        <n v="5.0"/>
      </sharedItems>
    </cacheField>
    <cacheField name="Unit Price (Rs)" numFmtId="3">
      <sharedItems containsSemiMixedTypes="0" containsString="0" containsNumber="1" containsInteger="1">
        <n v="1138.0"/>
        <n v="1829.0"/>
        <n v="984.0"/>
        <n v="266.0"/>
        <n v="932.0"/>
        <n v="1962.0"/>
        <n v="184.0"/>
        <n v="559.0"/>
        <n v="1294.0"/>
        <n v="5520.0"/>
        <n v="442.0"/>
        <n v="496.0"/>
        <n v="158.0"/>
        <n v="625.0"/>
        <n v="511.0"/>
        <n v="112.0"/>
        <n v="427.0"/>
        <n v="2231.0"/>
        <n v="1212.0"/>
        <n v="321.0"/>
        <n v="124.0"/>
        <n v="503.0"/>
        <n v="213.0"/>
        <n v="3129.0"/>
        <n v="364.0"/>
        <n v="6646.0"/>
        <n v="2380.0"/>
        <n v="371.0"/>
        <n v="126.0"/>
        <n v="1742.0"/>
        <n v="2245.0"/>
        <n v="326.0"/>
        <n v="500.0"/>
        <n v="1234.0"/>
        <n v="169.0"/>
        <n v="99.0"/>
        <n v="1691.0"/>
        <n v="95.0"/>
        <n v="1902.0"/>
        <n v="1765.0"/>
        <n v="1894.0"/>
        <n v="390.0"/>
        <n v="1352.0"/>
        <n v="977.0"/>
        <n v="199.0"/>
        <n v="1233.0"/>
        <n v="2186.0"/>
        <n v="1057.0"/>
        <n v="539.0"/>
        <n v="631.0"/>
        <n v="513.0"/>
        <n v="1422.0"/>
        <n v="1432.0"/>
        <n v="642.0"/>
        <n v="1195.0"/>
        <n v="276.0"/>
        <n v="1434.0"/>
        <n v="787.0"/>
        <n v="338.0"/>
        <n v="261.0"/>
        <n v="4149.0"/>
        <n v="233.0"/>
        <n v="127.0"/>
        <n v="523.0"/>
        <n v="446.0"/>
        <n v="274.0"/>
        <n v="873.0"/>
        <n v="192.0"/>
        <n v="79.0"/>
        <n v="267.0"/>
        <n v="239.0"/>
        <n v="463.0"/>
        <n v="310.0"/>
        <n v="566.0"/>
        <n v="560.0"/>
        <n v="316.0"/>
        <n v="5945.0"/>
        <n v="223.0"/>
        <n v="583.0"/>
        <n v="238.0"/>
        <n v="2241.0"/>
        <n v="1103.0"/>
        <n v="1897.0"/>
        <n v="989.0"/>
        <n v="515.0"/>
        <n v="299.0"/>
        <n v="7816.0"/>
        <n v="828.0"/>
        <n v="2213.0"/>
        <n v="1150.0"/>
        <n v="2174.0"/>
        <n v="1788.0"/>
        <n v="592.0"/>
        <n v="2473.0"/>
        <n v="3688.0"/>
        <n v="588.0"/>
        <n v="372.0"/>
        <n v="596.0"/>
        <n v="770.0"/>
        <n v="115.0"/>
        <n v="240.0"/>
        <n v="4689.0"/>
        <n v="509.0"/>
        <n v="962.0"/>
        <n v="347.0"/>
        <n v="1804.0"/>
        <n v="391.0"/>
        <n v="548.0"/>
        <n v="1410.0"/>
        <n v="6496.0"/>
        <n v="696.0"/>
        <n v="264.0"/>
        <n v="413.0"/>
        <n v="3814.0"/>
        <n v="745.0"/>
        <n v="407.0"/>
        <n v="4776.0"/>
        <n v="433.0"/>
        <n v="209.0"/>
        <n v="5507.0"/>
        <n v="1347.0"/>
        <n v="656.0"/>
        <n v="416.0"/>
        <n v="1637.0"/>
        <n v="373.0"/>
        <n v="154.0"/>
        <n v="7751.0"/>
        <n v="1638.0"/>
        <n v="1548.0"/>
        <n v="203.0"/>
        <n v="1369.0"/>
        <n v="301.0"/>
        <n v="200.0"/>
        <n v="146.0"/>
        <n v="123.0"/>
        <n v="190.0"/>
        <n v="1058.0"/>
        <n v="540.0"/>
        <n v="1857.0"/>
        <n v="234.0"/>
        <n v="252.0"/>
        <n v="7008.0"/>
        <n v="224.0"/>
        <n v="443.0"/>
        <n v="1292.0"/>
        <n v="344.0"/>
        <n v="2192.0"/>
        <n v="930.0"/>
        <n v="1416.0"/>
        <n v="5940.0"/>
        <n v="1204.0"/>
        <n v="397.0"/>
        <n v="288.0"/>
        <n v="647.0"/>
        <n v="573.0"/>
        <n v="243.0"/>
        <n v="916.0"/>
        <n v="765.0"/>
        <n v="1481.0"/>
        <n v="1370.0"/>
        <n v="634.0"/>
        <n v="485.0"/>
        <n v="7012.0"/>
        <n v="2855.0"/>
        <n v="1530.0"/>
        <n v="242.0"/>
        <n v="422.0"/>
        <n v="436.0"/>
        <n v="517.0"/>
        <n v="5763.0"/>
        <n v="620.0"/>
        <n v="486.0"/>
        <n v="155.0"/>
        <n v="507.0"/>
        <n v="1744.0"/>
        <n v="541.0"/>
        <n v="859.0"/>
        <n v="339.0"/>
        <n v="1608.0"/>
        <n v="606.0"/>
        <n v="425.0"/>
        <n v="403.0"/>
        <n v="2345.0"/>
        <n v="870.0"/>
        <n v="4800.0"/>
        <n v="846.0"/>
        <n v="1913.0"/>
        <n v="7631.0"/>
        <n v="361.0"/>
        <n v="3855.0"/>
        <n v="6046.0"/>
        <n v="2353.0"/>
        <n v="7504.0"/>
        <n v="106.0"/>
        <n v="724.0"/>
        <n v="289.0"/>
        <n v="73.0"/>
        <n v="1885.0"/>
        <n v="225.0"/>
        <n v="545.0"/>
        <n v="182.0"/>
        <n v="404.0"/>
        <n v="6394.0"/>
        <n v="250.0"/>
        <n v="1447.0"/>
        <n v="2159.0"/>
        <n v="6155.0"/>
        <n v="1870.0"/>
        <n v="68.0"/>
        <n v="86.0"/>
        <n v="637.0"/>
        <n v="110.0"/>
        <n v="342.0"/>
        <n v="5182.0"/>
        <n v="387.0"/>
        <n v="3152.0"/>
        <n v="474.0"/>
        <n v="2223.0"/>
        <n v="1552.0"/>
        <n v="211.0"/>
        <n v="1209.0"/>
        <n v="1298.0"/>
        <n v="412.0"/>
        <n v="170.0"/>
        <n v="336.0"/>
        <n v="604.0"/>
        <n v="574.0"/>
        <n v="4935.0"/>
        <n v="3644.0"/>
        <n v="4252.0"/>
        <n v="2978.0"/>
        <n v="4011.0"/>
        <n v="6969.0"/>
        <n v="358.0"/>
        <n v="432.0"/>
        <n v="4998.0"/>
        <n v="1648.0"/>
        <n v="151.0"/>
        <n v="734.0"/>
        <n v="441.0"/>
        <n v="5360.0"/>
        <n v="163.0"/>
        <n v="4562.0"/>
        <n v="552.0"/>
        <n v="2425.0"/>
        <n v="878.0"/>
        <n v="445.0"/>
        <n v="423.0"/>
        <n v="3348.0"/>
        <n v="1314.0"/>
        <n v="400.0"/>
        <n v="1241.0"/>
        <n v="1496.0"/>
        <n v="359.0"/>
        <n v="303.0"/>
        <n v="4355.0"/>
        <n v="450.0"/>
        <n v="363.0"/>
        <n v="118.0"/>
        <n v="689.0"/>
        <n v="320.0"/>
        <n v="439.0"/>
        <n v="1403.0"/>
        <n v="1494.0"/>
        <n v="635.0"/>
        <n v="1083.0"/>
        <n v="958.0"/>
        <n v="619.0"/>
        <n v="514.0"/>
        <n v="449.0"/>
        <n v="283.0"/>
        <n v="1280.0"/>
        <n v="1125.0"/>
        <n v="461.0"/>
        <n v="217.0"/>
        <n v="1678.0"/>
        <n v="401.0"/>
        <n v="5125.0"/>
        <n v="1356.0"/>
        <n v="271.0"/>
        <n v="7578.0"/>
        <n v="1027.0"/>
        <n v="1291.0"/>
        <n v="219.0"/>
        <n v="107.0"/>
        <n v="374.0"/>
        <n v="1159.0"/>
        <n v="2170.0"/>
        <n v="8433.0"/>
        <n v="1317.0"/>
        <n v="6094.0"/>
        <n v="715.0"/>
        <n v="302.0"/>
        <n v="1179.0"/>
        <n v="292.0"/>
        <n v="5403.0"/>
        <n v="277.0"/>
        <n v="6584.0"/>
        <n v="1624.0"/>
        <n v="703.0"/>
        <n v="1132.0"/>
        <n v="295.0"/>
        <n v="210.0"/>
        <n v="428.0"/>
        <n v="1647.0"/>
        <n v="280.0"/>
        <n v="1331.0"/>
        <n v="2207.0"/>
        <n v="6255.0"/>
        <n v="167.0"/>
        <n v="1393.0"/>
        <n v="663.0"/>
        <n v="447.0"/>
        <n v="294.0"/>
        <n v="7802.0"/>
        <n v="2056.0"/>
        <n v="3083.0"/>
        <n v="652.0"/>
        <n v="180.0"/>
        <n v="196.0"/>
        <n v="3342.0"/>
        <n v="102.0"/>
        <n v="5642.0"/>
        <n v="1540.0"/>
        <n v="177.0"/>
        <n v="615.0"/>
        <n v="120.0"/>
        <n v="1112.0"/>
        <n v="3455.0"/>
        <n v="1801.0"/>
        <n v="1013.0"/>
        <n v="1221.0"/>
        <n v="5570.0"/>
        <n v="1449.0"/>
        <n v="459.0"/>
        <n v="705.0"/>
        <n v="1085.0"/>
        <n v="1854.0"/>
        <n v="279.0"/>
        <n v="160.0"/>
        <n v="4522.0"/>
        <n v="1597.0"/>
        <n v="1859.0"/>
        <n v="1266.0"/>
        <n v="369.0"/>
        <n v="2480.0"/>
        <n v="565.0"/>
        <n v="458.0"/>
        <n v="483.0"/>
        <n v="370.0"/>
        <n v="613.0"/>
        <n v="2491.0"/>
        <n v="92.0"/>
        <n v="137.0"/>
        <n v="799.0"/>
        <n v="536.0"/>
        <n v="1385.0"/>
        <n v="7080.0"/>
        <n v="7686.0"/>
        <n v="191.0"/>
        <n v="3792.0"/>
        <n v="602.0"/>
        <n v="437.0"/>
        <n v="8486.0"/>
        <n v="66.0"/>
        <n v="236.0"/>
        <n v="2890.0"/>
        <n v="1217.0"/>
        <n v="3247.0"/>
        <n v="173.0"/>
        <n v="1490.0"/>
        <n v="465.0"/>
        <n v="1199.0"/>
        <n v="3098.0"/>
        <n v="255.0"/>
        <n v="365.0"/>
        <n v="4330.0"/>
        <n v="1776.0"/>
        <n v="1690.0"/>
        <n v="476.0"/>
        <n v="557.0"/>
        <n v="231.0"/>
      </sharedItems>
    </cacheField>
    <cacheField name="Gross Amount (Rs)" numFmtId="3">
      <sharedItems containsSemiMixedTypes="0" containsString="0" containsNumber="1" containsInteger="1">
        <n v="6828.0"/>
        <n v="25606.0"/>
        <n v="6888.0"/>
        <n v="3990.0"/>
        <n v="12116.0"/>
        <n v="1962.0"/>
        <n v="184.0"/>
        <n v="5590.0"/>
        <n v="5176.0"/>
        <n v="44160.0"/>
        <n v="4862.0"/>
        <n v="6448.0"/>
        <n v="1896.0"/>
        <n v="8125.0"/>
        <n v="1022.0"/>
        <n v="1344.0"/>
        <n v="854.0"/>
        <n v="33465.0"/>
        <n v="8484.0"/>
        <n v="4815.0"/>
        <n v="868.0"/>
        <n v="3018.0"/>
        <n v="1278.0"/>
        <n v="3129.0"/>
        <n v="728.0"/>
        <n v="6646.0"/>
        <n v="4760.0"/>
        <n v="3339.0"/>
        <n v="126.0"/>
        <n v="15678.0"/>
        <n v="17960.0"/>
        <n v="2282.0"/>
        <n v="6000.0"/>
        <n v="7404.0"/>
        <n v="1690.0"/>
        <n v="736.0"/>
        <n v="99.0"/>
        <n v="3382.0"/>
        <n v="1140.0"/>
        <n v="5706.0"/>
        <n v="3530.0"/>
        <n v="11364.0"/>
        <n v="3510.0"/>
        <n v="2704.0"/>
        <n v="11724.0"/>
        <n v="1592.0"/>
        <n v="2466.0"/>
        <n v="24046.0"/>
        <n v="11627.0"/>
        <n v="1617.0"/>
        <n v="1893.0"/>
        <n v="6156.0"/>
        <n v="19908.0"/>
        <n v="21480.0"/>
        <n v="2568.0"/>
        <n v="2390.0"/>
        <n v="1380.0"/>
        <n v="14340.0"/>
        <n v="787.0"/>
        <n v="3654.0"/>
        <n v="41490.0"/>
        <n v="466.0"/>
        <n v="2796.0"/>
        <n v="127.0"/>
        <n v="5230.0"/>
        <n v="5798.0"/>
        <n v="2740.0"/>
        <n v="12222.0"/>
        <n v="2112.0"/>
        <n v="553.0"/>
        <n v="1602.0"/>
        <n v="1195.0"/>
        <n v="3704.0"/>
        <n v="2480.0"/>
        <n v="7924.0"/>
        <n v="5040.0"/>
        <n v="4740.0"/>
        <n v="4417.0"/>
        <n v="53505.0"/>
        <n v="1561.0"/>
        <n v="2332.0"/>
        <n v="2618.0"/>
        <n v="8964.0"/>
        <n v="13236.0"/>
        <n v="17073.0"/>
        <n v="2967.0"/>
        <n v="515.0"/>
        <n v="3588.0"/>
        <n v="93792.0"/>
        <n v="6624.0"/>
        <n v="882.0"/>
        <n v="33195.0"/>
        <n v="11500.0"/>
        <n v="2174.0"/>
        <n v="17880.0"/>
        <n v="3552.0"/>
        <n v="34622.0"/>
        <n v="47944.0"/>
        <n v="7644.0"/>
        <n v="1860.0"/>
        <n v="4768.0"/>
        <n v="9240.0"/>
        <n v="920.0"/>
        <n v="2160.0"/>
        <n v="14067.0"/>
        <n v="7126.0"/>
        <n v="8658.0"/>
        <n v="4858.0"/>
        <n v="12628.0"/>
        <n v="391.0"/>
        <n v="3288.0"/>
        <n v="4230.0"/>
        <n v="45472.0"/>
        <n v="6960.0"/>
        <n v="1848.0"/>
        <n v="3717.0"/>
        <n v="45768.0"/>
        <n v="745.0"/>
        <n v="407.0"/>
        <n v="52536.0"/>
        <n v="5196.0"/>
        <n v="2299.0"/>
        <n v="82605.0"/>
        <n v="6735.0"/>
        <n v="5248.0"/>
        <n v="3744.0"/>
        <n v="8185.0"/>
        <n v="2984.0"/>
        <n v="1540.0"/>
        <n v="31004.0"/>
        <n v="13104.0"/>
        <n v="6192.0"/>
        <n v="3045.0"/>
        <n v="15059.0"/>
        <n v="3913.0"/>
        <n v="3000.0"/>
        <n v="2044.0"/>
        <n v="1107.0"/>
        <n v="2280.0"/>
        <n v="2116.0"/>
        <n v="6480.0"/>
        <n v="14856.0"/>
        <n v="468.0"/>
        <n v="1512.0"/>
        <n v="49056.0"/>
        <n v="1568.0"/>
        <n v="886.0"/>
        <n v="11628.0"/>
        <n v="3440.0"/>
        <n v="13152.0"/>
        <n v="10230.0"/>
        <n v="21240.0"/>
        <n v="47520.0"/>
        <n v="2408.0"/>
        <n v="1191.0"/>
        <n v="4320.0"/>
        <n v="1294.0"/>
        <n v="4584.0"/>
        <n v="1106.0"/>
        <n v="486.0"/>
        <n v="6412.0"/>
        <n v="10710.0"/>
        <n v="8886.0"/>
        <n v="6850.0"/>
        <n v="5072.0"/>
        <n v="5335.0"/>
        <n v="35060.0"/>
        <n v="34260.0"/>
        <n v="4590.0"/>
        <n v="1452.0"/>
        <n v="3376.0"/>
        <n v="4796.0"/>
        <n v="16730.0"/>
        <n v="3619.0"/>
        <n v="57630.0"/>
        <n v="3888.0"/>
        <n v="2015.0"/>
        <n v="2028.0"/>
        <n v="20928.0"/>
        <n v="3246.0"/>
        <n v="859.0"/>
        <n v="3051.0"/>
        <n v="4824.0"/>
        <n v="3030.0"/>
        <n v="3168.0"/>
        <n v="5100.0"/>
        <n v="3224.0"/>
        <n v="2345.0"/>
        <n v="38400.0"/>
        <n v="9306.0"/>
        <n v="17217.0"/>
        <n v="114465.0"/>
        <n v="4693.0"/>
        <n v="23130.0"/>
        <n v="30230.0"/>
        <n v="7059.0"/>
        <n v="75040.0"/>
        <n v="848.0"/>
        <n v="724.0"/>
        <n v="3179.0"/>
        <n v="365.0"/>
        <n v="15080.0"/>
        <n v="3375.0"/>
        <n v="3270.0"/>
        <n v="910.0"/>
        <n v="2020.0"/>
        <n v="12788.0"/>
        <n v="1000.0"/>
        <n v="5788.0"/>
        <n v="21590.0"/>
        <n v="80015.0"/>
        <n v="28050.0"/>
        <n v="680.0"/>
        <n v="1118.0"/>
        <n v="1274.0"/>
        <n v="660.0"/>
        <n v="4446.0"/>
        <n v="5182.0"/>
        <n v="3870.0"/>
        <n v="12608.0"/>
        <n v="5688.0"/>
        <n v="11115.0"/>
        <n v="18624.0"/>
        <n v="1477.0"/>
        <n v="2418.0"/>
        <n v="12980.0"/>
        <n v="4944.0"/>
        <n v="2380.0"/>
        <n v="1680.0"/>
        <n v="9060.0"/>
        <n v="4935.0"/>
        <n v="21864.0"/>
        <n v="4412.0"/>
        <n v="17008.0"/>
        <n v="26802.0"/>
        <n v="24066.0"/>
        <n v="27876.0"/>
        <n v="1432.0"/>
        <n v="4752.0"/>
        <n v="44982.0"/>
        <n v="14832.0"/>
        <n v="1812.0"/>
        <n v="9542.0"/>
        <n v="4851.0"/>
        <n v="10720.0"/>
        <n v="326.0"/>
        <n v="36496.0"/>
        <n v="21825.0"/>
        <n v="3512.0"/>
        <n v="5340.0"/>
        <n v="5499.0"/>
        <n v="33480.0"/>
        <n v="14454.0"/>
        <n v="13651.0"/>
        <n v="5984.0"/>
        <n v="3231.0"/>
        <n v="3333.0"/>
        <n v="56615.0"/>
        <n v="6750.0"/>
        <n v="2178.0"/>
        <n v="354.0"/>
        <n v="6890.0"/>
        <n v="960.0"/>
        <n v="1317.0"/>
        <n v="19642.0"/>
        <n v="16434.0"/>
        <n v="2325.0"/>
        <n v="9525.0"/>
        <n v="3249.0"/>
        <n v="12454.0"/>
        <n v="8047.0"/>
        <n v="4626.0"/>
        <n v="1347.0"/>
        <n v="849.0"/>
        <n v="8960.0"/>
        <n v="9000.0"/>
        <n v="1383.0"/>
        <n v="3570.0"/>
        <n v="2387.0"/>
        <n v="1651.0"/>
        <n v="8390.0"/>
        <n v="14212.0"/>
        <n v="1604.0"/>
        <n v="66625.0"/>
        <n v="1356.0"/>
        <n v="813.0"/>
        <n v="75780.0"/>
        <n v="2054.0"/>
        <n v="11256.0"/>
        <n v="14201.0"/>
        <n v="1752.0"/>
        <n v="107.0"/>
        <n v="374.0"/>
        <n v="10431.0"/>
        <n v="17360.0"/>
        <n v="126495.0"/>
        <n v="7902.0"/>
        <n v="42658.0"/>
        <n v="3575.0"/>
        <n v="2114.0"/>
        <n v="3537.0"/>
        <n v="3504.0"/>
        <n v="54030.0"/>
        <n v="3047.0"/>
        <n v="26336.0"/>
        <n v="7042.0"/>
        <n v="1436.0"/>
        <n v="3248.0"/>
        <n v="1406.0"/>
        <n v="11320.0"/>
        <n v="295.0"/>
        <n v="2940.0"/>
        <n v="6420.0"/>
        <n v="14823.0"/>
        <n v="4200.0"/>
        <n v="6655.0"/>
        <n v="30898.0"/>
        <n v="68805.0"/>
        <n v="2338.0"/>
        <n v="16716.0"/>
        <n v="4641.0"/>
        <n v="4470.0"/>
        <n v="11310.0"/>
        <n v="2352.0"/>
        <n v="78020.0"/>
        <n v="10280.0"/>
        <n v="12332.0"/>
        <n v="9128.0"/>
        <n v="540.0"/>
        <n v="1764.0"/>
        <n v="46788.0"/>
        <n v="510.0"/>
        <n v="11284.0"/>
        <n v="4032.0"/>
        <n v="3920.0"/>
        <n v="20020.0"/>
        <n v="1770.0"/>
        <n v="6150.0"/>
        <n v="4448.0"/>
        <n v="6910.0"/>
        <n v="27015.0"/>
        <n v="1712.0"/>
        <n v="15195.0"/>
        <n v="13431.0"/>
        <n v="72410.0"/>
        <n v="11592.0"/>
        <n v="6885.0"/>
        <n v="9165.0"/>
        <n v="8680.0"/>
        <n v="2790.0"/>
        <n v="1600.0"/>
        <n v="9044.0"/>
        <n v="20761.0"/>
        <n v="1859.0"/>
        <n v="8862.0"/>
        <n v="3321.0"/>
        <n v="16836.0"/>
        <n v="7440.0"/>
        <n v="3720.0"/>
        <n v="4520.0"/>
        <n v="3206.0"/>
        <n v="5313.0"/>
        <n v="1850.0"/>
        <n v="5136.0"/>
        <n v="6130.0"/>
        <n v="9964.0"/>
        <n v="1644.0"/>
        <n v="5593.0"/>
        <n v="1608.0"/>
        <n v="13850.0"/>
        <n v="5070.0"/>
        <n v="56640.0"/>
        <n v="23058.0"/>
        <n v="1910.0"/>
        <n v="18960.0"/>
        <n v="2748.0"/>
        <n v="2856.0"/>
        <n v="4816.0"/>
        <n v="4807.0"/>
        <n v="42430.0"/>
        <n v="462.0"/>
        <n v="2596.0"/>
        <n v="8670.0"/>
        <n v="14604.0"/>
        <n v="3360.0"/>
        <n v="6875.0"/>
        <n v="42211.0"/>
        <n v="1730.0"/>
        <n v="19370.0"/>
        <n v="5580.0"/>
        <n v="3562.0"/>
        <n v="9200.0"/>
        <n v="6968.0"/>
        <n v="2398.0"/>
        <n v="15490.0"/>
        <n v="5564.0"/>
        <n v="3060.0"/>
        <n v="4015.0"/>
        <n v="34640.0"/>
        <n v="8880.0"/>
        <n v="8450.0"/>
        <n v="557.0"/>
        <n v="2541.0"/>
      </sharedItems>
    </cacheField>
    <cacheField name="Discount %" numFmtId="0">
      <sharedItems containsSemiMixedTypes="0" containsString="0" containsNumber="1" containsInteger="1">
        <n v="20.0"/>
        <n v="0.0"/>
        <n v="10.0"/>
        <n v="15.0"/>
        <n v="5.0"/>
      </sharedItems>
    </cacheField>
    <cacheField name="Discount Amount (Rs)" numFmtId="3">
      <sharedItems containsSemiMixedTypes="0" containsString="0" containsNumber="1" containsInteger="1">
        <n v="1366.0"/>
        <n v="5121.0"/>
        <n v="0.0"/>
        <n v="1212.0"/>
        <n v="392.0"/>
        <n v="28.0"/>
        <n v="8832.0"/>
        <n v="190.0"/>
        <n v="406.0"/>
        <n v="204.0"/>
        <n v="482.0"/>
        <n v="87.0"/>
        <n v="151.0"/>
        <n v="156.0"/>
        <n v="73.0"/>
        <n v="952.0"/>
        <n v="3592.0"/>
        <n v="456.0"/>
        <n v="300.0"/>
        <n v="110.0"/>
        <n v="10.0"/>
        <n v="571.0"/>
        <n v="1136.0"/>
        <n v="176.0"/>
        <n v="135.0"/>
        <n v="1172.0"/>
        <n v="239.0"/>
        <n v="370.0"/>
        <n v="1744.0"/>
        <n v="81.0"/>
        <n v="284.0"/>
        <n v="128.0"/>
        <n v="478.0"/>
        <n v="138.0"/>
        <n v="717.0"/>
        <n v="8298.0"/>
        <n v="47.0"/>
        <n v="140.0"/>
        <n v="160.0"/>
        <n v="120.0"/>
        <n v="792.0"/>
        <n v="663.0"/>
        <n v="2675.0"/>
        <n v="78.0"/>
        <n v="103.0"/>
        <n v="9379.0"/>
        <n v="1325.0"/>
        <n v="88.0"/>
        <n v="575.0"/>
        <n v="326.0"/>
        <n v="894.0"/>
        <n v="1731.0"/>
        <n v="4794.0"/>
        <n v="1529.0"/>
        <n v="359.0"/>
        <n v="1386.0"/>
        <n v="324.0"/>
        <n v="2813.0"/>
        <n v="243.0"/>
        <n v="1263.0"/>
        <n v="39.0"/>
        <n v="164.0"/>
        <n v="634.0"/>
        <n v="9094.0"/>
        <n v="277.0"/>
        <n v="186.0"/>
        <n v="6865.0"/>
        <n v="149.0"/>
        <n v="61.0"/>
        <n v="2627.0"/>
        <n v="779.0"/>
        <n v="345.0"/>
        <n v="8260.0"/>
        <n v="674.0"/>
        <n v="374.0"/>
        <n v="6201.0"/>
        <n v="1966.0"/>
        <n v="196.0"/>
        <n v="600.0"/>
        <n v="317.0"/>
        <n v="1296.0"/>
        <n v="2971.0"/>
        <n v="94.0"/>
        <n v="9811.0"/>
        <n v="133.0"/>
        <n v="688.0"/>
        <n v="1315.0"/>
        <n v="1023.0"/>
        <n v="361.0"/>
        <n v="179.0"/>
        <n v="194.0"/>
        <n v="166.0"/>
        <n v="93.0"/>
        <n v="962.0"/>
        <n v="1606.0"/>
        <n v="507.0"/>
        <n v="267.0"/>
        <n v="5259.0"/>
        <n v="5139.0"/>
        <n v="459.0"/>
        <n v="506.0"/>
        <n v="719.0"/>
        <n v="836.0"/>
        <n v="5763.0"/>
        <n v="124.0"/>
        <n v="101.0"/>
        <n v="649.0"/>
        <n v="86.0"/>
        <n v="1020.0"/>
        <n v="645.0"/>
        <n v="234.0"/>
        <n v="1722.0"/>
        <n v="5723.0"/>
        <n v="939.0"/>
        <n v="1156.0"/>
        <n v="706.0"/>
        <n v="7504.0"/>
        <n v="170.0"/>
        <n v="477.0"/>
        <n v="1508.0"/>
        <n v="182.0"/>
        <n v="202.0"/>
        <n v="1279.0"/>
        <n v="200.0"/>
        <n v="2159.0"/>
        <n v="8002.0"/>
        <n v="68.0"/>
        <n v="127.0"/>
        <n v="132.0"/>
        <n v="1036.0"/>
        <n v="387.0"/>
        <n v="1138.0"/>
        <n v="556.0"/>
        <n v="1298.0"/>
        <n v="476.0"/>
        <n v="906.0"/>
        <n v="494.0"/>
        <n v="4373.0"/>
        <n v="882.0"/>
        <n v="5360.0"/>
        <n v="2407.0"/>
        <n v="5575.0"/>
        <n v="950.0"/>
        <n v="1483.0"/>
        <n v="970.0"/>
        <n v="536.0"/>
        <n v="65.0"/>
        <n v="3650.0"/>
        <n v="534.0"/>
        <n v="550.0"/>
        <n v="5022.0"/>
        <n v="2891.0"/>
        <n v="1200.0"/>
        <n v="2730.0"/>
        <n v="323.0"/>
        <n v="11323.0"/>
        <n v="338.0"/>
        <n v="436.0"/>
        <n v="18.0"/>
        <n v="1378.0"/>
        <n v="192.0"/>
        <n v="2946.0"/>
        <n v="1643.0"/>
        <n v="325.0"/>
        <n v="1245.0"/>
        <n v="463.0"/>
        <n v="42.0"/>
        <n v="900.0"/>
        <n v="178.0"/>
        <n v="330.0"/>
        <n v="1421.0"/>
        <n v="9994.0"/>
        <n v="205.0"/>
        <n v="1126.0"/>
        <n v="2840.0"/>
        <n v="350.0"/>
        <n v="522.0"/>
        <n v="1580.0"/>
        <n v="287.0"/>
        <n v="2264.0"/>
        <n v="30.0"/>
        <n v="2965.0"/>
        <n v="468.0"/>
        <n v="2507.0"/>
        <n v="1028.0"/>
        <n v="2466.0"/>
        <n v="913.0"/>
        <n v="4679.0"/>
        <n v="51.0"/>
        <n v="564.0"/>
        <n v="605.0"/>
        <n v="159.0"/>
        <n v="1001.0"/>
        <n v="354.0"/>
        <n v="890.0"/>
        <n v="346.0"/>
        <n v="4052.0"/>
        <n v="257.0"/>
        <n v="7241.0"/>
        <n v="1159.0"/>
        <n v="1833.0"/>
        <n v="1302.0"/>
        <n v="558.0"/>
        <n v="320.0"/>
        <n v="904.0"/>
        <n v="4152.0"/>
        <n v="886.0"/>
        <n v="842.0"/>
        <n v="372.0"/>
        <n v="531.0"/>
        <n v="278.0"/>
        <n v="1993.0"/>
        <n v="2078.0"/>
        <n v="1014.0"/>
        <n v="8496.0"/>
        <n v="1153.0"/>
        <n v="96.0"/>
        <n v="1896.0"/>
        <n v="286.0"/>
        <n v="963.0"/>
        <n v="389.0"/>
        <n v="730.0"/>
        <n v="672.0"/>
        <n v="1031.0"/>
        <n v="8442.0"/>
        <n v="260.0"/>
        <n v="968.0"/>
        <n v="712.0"/>
        <n v="1840.0"/>
        <n v="1394.0"/>
        <n v="1113.0"/>
        <n v="1425.0"/>
        <n v="1732.0"/>
        <n v="1690.0"/>
        <n v="119.0"/>
        <n v="254.0"/>
      </sharedItems>
    </cacheField>
    <cacheField name="Net Sales (Rs)" numFmtId="3">
      <sharedItems containsSemiMixedTypes="0" containsString="0" containsNumber="1" containsInteger="1">
        <n v="5462.0"/>
        <n v="20485.0"/>
        <n v="6888.0"/>
        <n v="3990.0"/>
        <n v="10904.0"/>
        <n v="1570.0"/>
        <n v="156.0"/>
        <n v="5590.0"/>
        <n v="5176.0"/>
        <n v="35328.0"/>
        <n v="4862.0"/>
        <n v="6448.0"/>
        <n v="1706.0"/>
        <n v="7719.0"/>
        <n v="818.0"/>
        <n v="1344.0"/>
        <n v="854.0"/>
        <n v="33465.0"/>
        <n v="8484.0"/>
        <n v="4333.0"/>
        <n v="781.0"/>
        <n v="2867.0"/>
        <n v="1278.0"/>
        <n v="2973.0"/>
        <n v="655.0"/>
        <n v="6646.0"/>
        <n v="3808.0"/>
        <n v="3339.0"/>
        <n v="126.0"/>
        <n v="15678.0"/>
        <n v="14368.0"/>
        <n v="1826.0"/>
        <n v="5700.0"/>
        <n v="7404.0"/>
        <n v="1690.0"/>
        <n v="626.0"/>
        <n v="89.0"/>
        <n v="3382.0"/>
        <n v="1140.0"/>
        <n v="5135.0"/>
        <n v="3530.0"/>
        <n v="10228.0"/>
        <n v="3334.0"/>
        <n v="2569.0"/>
        <n v="10552.0"/>
        <n v="1353.0"/>
        <n v="2096.0"/>
        <n v="24046.0"/>
        <n v="9883.0"/>
        <n v="1536.0"/>
        <n v="1609.0"/>
        <n v="6156.0"/>
        <n v="19908.0"/>
        <n v="21480.0"/>
        <n v="2440.0"/>
        <n v="1912.0"/>
        <n v="1242.0"/>
        <n v="13623.0"/>
        <n v="787.0"/>
        <n v="2704.0"/>
        <n v="3654.0"/>
        <n v="33192.0"/>
        <n v="419.0"/>
        <n v="2656.0"/>
        <n v="127.0"/>
        <n v="5230.0"/>
        <n v="5798.0"/>
        <n v="2740.0"/>
        <n v="12222.0"/>
        <n v="2112.0"/>
        <n v="553.0"/>
        <n v="1442.0"/>
        <n v="1075.0"/>
        <n v="3704.0"/>
        <n v="2480.0"/>
        <n v="7132.0"/>
        <n v="5040.0"/>
        <n v="4740.0"/>
        <n v="3754.0"/>
        <n v="50830.0"/>
        <n v="1483.0"/>
        <n v="2332.0"/>
        <n v="2618.0"/>
        <n v="8964.0"/>
        <n v="13236.0"/>
        <n v="17073.0"/>
        <n v="2967.0"/>
        <n v="412.0"/>
        <n v="3588.0"/>
        <n v="84413.0"/>
        <n v="5299.0"/>
        <n v="794.0"/>
        <n v="33195.0"/>
        <n v="10925.0"/>
        <n v="1848.0"/>
        <n v="16986.0"/>
        <n v="3552.0"/>
        <n v="32891.0"/>
        <n v="43150.0"/>
        <n v="6115.0"/>
        <n v="3229.0"/>
        <n v="1860.0"/>
        <n v="4768.0"/>
        <n v="7854.0"/>
        <n v="920.0"/>
        <n v="1836.0"/>
        <n v="11254.0"/>
        <n v="7126.0"/>
        <n v="8658.0"/>
        <n v="4615.0"/>
        <n v="11365.0"/>
        <n v="352.0"/>
        <n v="3124.0"/>
        <n v="3596.0"/>
        <n v="36378.0"/>
        <n v="6960.0"/>
        <n v="1571.0"/>
        <n v="3531.0"/>
        <n v="38903.0"/>
        <n v="596.0"/>
        <n v="346.0"/>
        <n v="49909.0"/>
        <n v="4417.0"/>
        <n v="1954.0"/>
        <n v="74345.0"/>
        <n v="6061.0"/>
        <n v="5248.0"/>
        <n v="3370.0"/>
        <n v="8185.0"/>
        <n v="2835.0"/>
        <n v="1540.0"/>
        <n v="24803.0"/>
        <n v="11138.0"/>
        <n v="6192.0"/>
        <n v="3045.0"/>
        <n v="15059.0"/>
        <n v="3717.0"/>
        <n v="2400.0"/>
        <n v="1840.0"/>
        <n v="1107.0"/>
        <n v="1824.0"/>
        <n v="1799.0"/>
        <n v="5184.0"/>
        <n v="11885.0"/>
        <n v="374.0"/>
        <n v="1361.0"/>
        <n v="39245.0"/>
        <n v="1568.0"/>
        <n v="753.0"/>
        <n v="11628.0"/>
        <n v="2752.0"/>
        <n v="11837.0"/>
        <n v="9207.0"/>
        <n v="21240.0"/>
        <n v="47520.0"/>
        <n v="2047.0"/>
        <n v="1012.0"/>
        <n v="4320.0"/>
        <n v="1100.0"/>
        <n v="4584.0"/>
        <n v="940.0"/>
        <n v="1767.0"/>
        <n v="413.0"/>
        <n v="5450.0"/>
        <n v="9104.0"/>
        <n v="8886.0"/>
        <n v="6850.0"/>
        <n v="4565.0"/>
        <n v="5068.0"/>
        <n v="29801.0"/>
        <n v="29121.0"/>
        <n v="4131.0"/>
        <n v="1452.0"/>
        <n v="2870.0"/>
        <n v="4077.0"/>
        <n v="15894.0"/>
        <n v="3619.0"/>
        <n v="51867.0"/>
        <n v="2356.0"/>
        <n v="3888.0"/>
        <n v="1914.0"/>
        <n v="1927.0"/>
        <n v="20928.0"/>
        <n v="2597.0"/>
        <n v="773.0"/>
        <n v="3051.0"/>
        <n v="4824.0"/>
        <n v="3030.0"/>
        <n v="3168.0"/>
        <n v="4080.0"/>
        <n v="2579.0"/>
        <n v="2111.0"/>
        <n v="38400.0"/>
        <n v="9306.0"/>
        <n v="15495.0"/>
        <n v="108742.0"/>
        <n v="21974.0"/>
        <n v="30230.0"/>
        <n v="6353.0"/>
        <n v="67536.0"/>
        <n v="678.0"/>
        <n v="724.0"/>
        <n v="2702.0"/>
        <n v="365.0"/>
        <n v="13572.0"/>
        <n v="2869.0"/>
        <n v="3270.0"/>
        <n v="728.0"/>
        <n v="1818.0"/>
        <n v="11509.0"/>
        <n v="800.0"/>
        <n v="5788.0"/>
        <n v="19431.0"/>
        <n v="72013.0"/>
        <n v="28050.0"/>
        <n v="612.0"/>
        <n v="1118.0"/>
        <n v="1147.0"/>
        <n v="528.0"/>
        <n v="4446.0"/>
        <n v="4146.0"/>
        <n v="3483.0"/>
        <n v="12608.0"/>
        <n v="4550.0"/>
        <n v="10559.0"/>
        <n v="18624.0"/>
        <n v="1477.0"/>
        <n v="2418.0"/>
        <n v="11682.0"/>
        <n v="4944.0"/>
        <n v="1904.0"/>
        <n v="1680.0"/>
        <n v="8154.0"/>
        <n v="4441.0"/>
        <n v="17491.0"/>
        <n v="17008.0"/>
        <n v="21442.0"/>
        <n v="21659.0"/>
        <n v="22301.0"/>
        <n v="1432.0"/>
        <n v="3802.0"/>
        <n v="44982.0"/>
        <n v="13349.0"/>
        <n v="1812.0"/>
        <n v="9065.0"/>
        <n v="3881.0"/>
        <n v="10184.0"/>
        <n v="261.0"/>
        <n v="32846.0"/>
        <n v="21825.0"/>
        <n v="3512.0"/>
        <n v="4806.0"/>
        <n v="4949.0"/>
        <n v="28458.0"/>
        <n v="11563.0"/>
        <n v="4800.0"/>
        <n v="10921.0"/>
        <n v="5984.0"/>
        <n v="2908.0"/>
        <n v="3333.0"/>
        <n v="45292.0"/>
        <n v="6412.0"/>
        <n v="1742.0"/>
        <n v="336.0"/>
        <n v="5512.0"/>
        <n v="768.0"/>
        <n v="1317.0"/>
        <n v="16696.0"/>
        <n v="14791.0"/>
        <n v="2325.0"/>
        <n v="9525.0"/>
        <n v="2924.0"/>
        <n v="11209.0"/>
        <n v="8047.0"/>
        <n v="4163.0"/>
        <n v="1347.0"/>
        <n v="807.0"/>
        <n v="8960.0"/>
        <n v="8100.0"/>
        <n v="1383.0"/>
        <n v="3392.0"/>
        <n v="2387.0"/>
        <n v="1321.0"/>
        <n v="8390.0"/>
        <n v="12791.0"/>
        <n v="1604.0"/>
        <n v="56631.0"/>
        <n v="1356.0"/>
        <n v="813.0"/>
        <n v="75780.0"/>
        <n v="1849.0"/>
        <n v="10130.0"/>
        <n v="11361.0"/>
        <n v="1402.0"/>
        <n v="107.0"/>
        <n v="9909.0"/>
        <n v="17360.0"/>
        <n v="126495.0"/>
        <n v="6322.0"/>
        <n v="42658.0"/>
        <n v="3575.0"/>
        <n v="2114.0"/>
        <n v="3537.0"/>
        <n v="3504.0"/>
        <n v="54030.0"/>
        <n v="3047.0"/>
        <n v="26336.0"/>
        <n v="7042.0"/>
        <n v="1149.0"/>
        <n v="3248.0"/>
        <n v="1406.0"/>
        <n v="9056.0"/>
        <n v="265.0"/>
        <n v="2940.0"/>
        <n v="6420.0"/>
        <n v="11858.0"/>
        <n v="4200.0"/>
        <n v="6655.0"/>
        <n v="30898.0"/>
        <n v="68805.0"/>
        <n v="1870.0"/>
        <n v="14209.0"/>
        <n v="4641.0"/>
        <n v="3576.0"/>
        <n v="11310.0"/>
        <n v="2352.0"/>
        <n v="78020.0"/>
        <n v="9252.0"/>
        <n v="9866.0"/>
        <n v="8215.0"/>
        <n v="459.0"/>
        <n v="2160.0"/>
        <n v="1764.0"/>
        <n v="42109.0"/>
        <n v="10720.0"/>
        <n v="3427.0"/>
        <n v="1433.0"/>
        <n v="3920.0"/>
        <n v="19019.0"/>
        <n v="1416.0"/>
        <n v="6150.0"/>
        <n v="960.0"/>
        <n v="3558.0"/>
        <n v="6564.0"/>
        <n v="22963.0"/>
        <n v="1455.0"/>
        <n v="15195.0"/>
        <n v="13431.0"/>
        <n v="65169.0"/>
        <n v="10433.0"/>
        <n v="6885.0"/>
        <n v="7332.0"/>
        <n v="7378.0"/>
        <n v="14832.0"/>
        <n v="2232.0"/>
        <n v="1280.0"/>
        <n v="8140.0"/>
        <n v="16609.0"/>
        <n v="1673.0"/>
        <n v="7976.0"/>
        <n v="3321.0"/>
        <n v="15994.0"/>
        <n v="7440.0"/>
        <n v="3348.0"/>
        <n v="4520.0"/>
        <n v="3206.0"/>
        <n v="4782.0"/>
        <n v="1572.0"/>
        <n v="4879.0"/>
        <n v="6130.0"/>
        <n v="7971.0"/>
        <n v="736.0"/>
        <n v="1480.0"/>
        <n v="5593.0"/>
        <n v="1608.0"/>
        <n v="11772.0"/>
        <n v="4056.0"/>
        <n v="48144.0"/>
        <n v="21905.0"/>
        <n v="1814.0"/>
        <n v="17064.0"/>
        <n v="2198.0"/>
        <n v="2570.0"/>
        <n v="3853.0"/>
        <n v="4807.0"/>
        <n v="42430.0"/>
        <n v="462.0"/>
        <n v="2207.0"/>
        <n v="8670.0"/>
        <n v="13874.0"/>
        <n v="2688.0"/>
        <n v="5844.0"/>
        <n v="33769.0"/>
        <n v="1470.0"/>
        <n v="18402.0"/>
        <n v="5580.0"/>
        <n v="2850.0"/>
        <n v="7360.0"/>
        <n v="5574.0"/>
        <n v="2278.0"/>
        <n v="15490.0"/>
        <n v="6750.0"/>
        <n v="4451.0"/>
        <n v="5701.0"/>
        <n v="3060.0"/>
        <n v="4015.0"/>
        <n v="32908.0"/>
        <n v="8880.0"/>
        <n v="6760.0"/>
        <n v="2261.0"/>
        <n v="557.0"/>
        <n v="2287.0"/>
      </sharedItems>
    </cacheField>
    <cacheField name="Sales Rep" numFmtId="0">
      <sharedItems>
        <s v="Deepak Yadav"/>
        <s v="Pooja Reddy"/>
        <s v="Kavita Nair"/>
        <s v="Vikram Malhotra"/>
        <s v="Amit Singh"/>
        <s v="Priya Verma"/>
        <s v="Rohit Sharma"/>
        <s v="Ananya Iyer"/>
        <s v="Sanjay Rao"/>
        <s v="Neha Gupta"/>
      </sharedItems>
    </cacheField>
    <cacheField name="Payment Mode" numFmtId="0">
      <sharedItems>
        <s v="Cash"/>
        <s v="Credit Card"/>
        <s v="Net Banking"/>
        <s v="UPI"/>
        <s v="Debit Card"/>
      </sharedItems>
    </cacheField>
    <cacheField name="Customer Type" numFmtId="0">
      <sharedItems>
        <s v="Wholesale"/>
        <s v="Online"/>
        <s v="Retail"/>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421" sheet="SuperMart - Raw Data"/>
  </cacheSource>
  <cacheFields>
    <cacheField name="orderId" numFmtId="0">
      <sharedItems containsSemiMixedTypes="0" containsString="0" containsNumber="1" containsInteger="1">
        <n v="20121.0"/>
        <n v="20122.0"/>
        <n v="20123.0"/>
        <n v="20124.0"/>
        <n v="20125.0"/>
        <n v="20126.0"/>
        <n v="20127.0"/>
        <n v="20128.0"/>
        <n v="20129.0"/>
        <n v="20053.0"/>
        <n v="20140.0"/>
        <n v="20287.0"/>
        <n v="20328.0"/>
        <n v="20033.0"/>
        <n v="20403.0"/>
        <n v="20276.0"/>
        <n v="20008.0"/>
        <n v="20290.0"/>
        <n v="20240.0"/>
        <n v="20037.0"/>
        <n v="20082.0"/>
        <n v="20086.0"/>
        <n v="20196.0"/>
        <n v="20113.0"/>
        <n v="20256.0"/>
        <n v="20261.0"/>
        <n v="20014.0"/>
        <n v="20147.0"/>
        <n v="20205.0"/>
        <n v="20172.0"/>
        <n v="20263.0"/>
        <n v="20303.0"/>
        <n v="20085.0"/>
        <n v="20267.0"/>
        <n v="20026.0"/>
        <n v="20042.0"/>
        <n v="20154.0"/>
        <n v="20189.0"/>
        <n v="20359.0"/>
        <n v="20273.0"/>
        <n v="20119.0"/>
        <n v="20060.0"/>
        <n v="20075.0"/>
        <n v="20320.0"/>
        <n v="20250.0"/>
        <n v="20336.0"/>
        <n v="20068.0"/>
        <n v="20006.0"/>
        <n v="20083.0"/>
        <n v="20130.0"/>
        <n v="20254.0"/>
        <n v="20410.0"/>
        <n v="20028.0"/>
        <n v="20227.0"/>
        <n v="20367.0"/>
        <n v="20393.0"/>
        <n v="20103.0"/>
        <n v="20138.0"/>
        <n v="20298.0"/>
        <n v="20335.0"/>
        <n v="20200.0"/>
        <n v="20395.0"/>
        <n v="20144.0"/>
        <n v="20248.0"/>
        <n v="20369.0"/>
        <n v="20166.0"/>
        <n v="20349.0"/>
        <n v="20155.0"/>
        <n v="20277.0"/>
        <n v="20324.0"/>
        <n v="20257.0"/>
        <n v="20235.0"/>
        <n v="20190.0"/>
        <n v="20236.0"/>
        <n v="20160.0"/>
        <n v="20031.0"/>
        <n v="20377.0"/>
        <n v="20413.0"/>
        <n v="20057.0"/>
        <n v="20330.0"/>
        <n v="20152.0"/>
        <n v="20264.0"/>
        <n v="20162.0"/>
        <n v="20184.0"/>
        <n v="20309.0"/>
        <n v="20181.0"/>
        <n v="20312.0"/>
        <n v="20093.0"/>
        <n v="20337.0"/>
        <n v="20319.0"/>
        <n v="20357.0"/>
        <n v="20073.0"/>
        <n v="20087.0"/>
        <n v="20389.0"/>
        <n v="20365.0"/>
        <n v="20111.0"/>
        <n v="20412.0"/>
        <n v="20059.0"/>
        <n v="20142.0"/>
        <n v="20408.0"/>
        <n v="20215.0"/>
        <n v="20299.0"/>
        <n v="20383.0"/>
        <n v="20347.0"/>
        <n v="20392.0"/>
        <n v="20020.0"/>
        <n v="20120.0"/>
        <n v="20013.0"/>
        <n v="20034.0"/>
        <n v="20222.0"/>
        <n v="20313.0"/>
        <n v="20174.0"/>
        <n v="20351.0"/>
        <n v="20302.0"/>
        <n v="20063.0"/>
        <n v="20106.0"/>
        <n v="20258.0"/>
        <n v="20275.0"/>
        <n v="20043.0"/>
        <n v="20049.0"/>
        <n v="20061.0"/>
        <n v="20289.0"/>
        <n v="20078.0"/>
        <n v="20197.0"/>
        <n v="20211.0"/>
        <n v="20334.0"/>
        <n v="20194.0"/>
        <n v="20183.0"/>
        <n v="20161.0"/>
        <n v="20193.0"/>
        <n v="20406.0"/>
        <n v="20027.0"/>
        <n v="20058.0"/>
        <n v="20280.0"/>
        <n v="20045.0"/>
        <n v="20292.0"/>
        <n v="20310.0"/>
        <n v="20101.0"/>
        <n v="20133.0"/>
        <n v="20414.0"/>
        <n v="20198.0"/>
        <n v="20262.0"/>
        <n v="20051.0"/>
        <n v="20401.0"/>
        <n v="20381.0"/>
        <n v="20102.0"/>
        <n v="20145.0"/>
        <n v="20245.0"/>
        <n v="20247.0"/>
        <n v="20282.0"/>
        <n v="20114.0"/>
        <n v="20035.0"/>
        <n v="20223.0"/>
        <n v="20136.0"/>
        <n v="20175.0"/>
        <n v="20224.0"/>
        <n v="20346.0"/>
        <n v="20294.0"/>
        <n v="20180.0"/>
        <n v="20038.0"/>
        <n v="20220.0"/>
        <n v="20089.0"/>
        <n v="20195.0"/>
        <n v="20307.0"/>
        <n v="20373.0"/>
        <n v="20143.0"/>
        <n v="20023.0"/>
        <n v="20107.0"/>
        <n v="20405.0"/>
        <n v="20025.0"/>
        <n v="20212.0"/>
        <n v="20266.0"/>
        <n v="20317.0"/>
        <n v="20040.0"/>
        <n v="20118.0"/>
        <n v="20218.0"/>
        <n v="20168.0"/>
        <n v="20187.0"/>
        <n v="20246.0"/>
        <n v="20231.0"/>
        <n v="20342.0"/>
        <n v="20030.0"/>
        <n v="20074.0"/>
        <n v="20323.0"/>
        <n v="20415.0"/>
        <n v="20288.0"/>
        <n v="20316.0"/>
        <n v="20295.0"/>
        <n v="20080.0"/>
        <n v="20029.0"/>
        <n v="20173.0"/>
        <n v="20229.0"/>
        <n v="20418.0"/>
        <n v="20300.0"/>
        <n v="20291.0"/>
        <n v="20241.0"/>
        <n v="20360.0"/>
        <n v="20091.0"/>
        <n v="20139.0"/>
        <n v="20284.0"/>
        <n v="20274.0"/>
        <n v="20332.0"/>
        <n v="20249.0"/>
        <n v="20297.0"/>
        <n v="20374.0"/>
        <n v="20380.0"/>
        <n v="20092.0"/>
        <n v="20131.0"/>
        <n v="20094.0"/>
        <n v="20233.0"/>
        <n v="20411.0"/>
        <n v="20110.0"/>
        <n v="20153.0"/>
        <n v="20252.0"/>
        <n v="20097.0"/>
        <n v="20202.0"/>
        <n v="20271.0"/>
        <n v="20135.0"/>
        <n v="20199.0"/>
        <n v="20388.0"/>
        <n v="20004.0"/>
        <n v="20279.0"/>
        <n v="20213.0"/>
        <n v="20397.0"/>
        <n v="20150.0"/>
        <n v="20022.0"/>
        <n v="20216.0"/>
        <n v="20163.0"/>
        <n v="20409.0"/>
        <n v="20090.0"/>
        <n v="20115.0"/>
        <n v="20420.0"/>
        <n v="20104.0"/>
        <n v="20096.0"/>
        <n v="20269.0"/>
        <n v="20296.0"/>
        <n v="20322.0"/>
        <n v="20394.0"/>
        <n v="20203.0"/>
        <n v="20308.0"/>
        <n v="20002.0"/>
        <n v="20019.0"/>
        <n v="20116.0"/>
        <n v="20217.0"/>
        <n v="20012.0"/>
        <n v="20338.0"/>
        <n v="20339.0"/>
        <n v="20098.0"/>
        <n v="20278.0"/>
        <n v="20146.0"/>
        <n v="20003.0"/>
        <n v="20225.0"/>
        <n v="20069.0"/>
        <n v="20232.0"/>
        <n v="20151.0"/>
        <n v="20350.0"/>
        <n v="20099.0"/>
        <n v="20185.0"/>
        <n v="20188.0"/>
        <n v="20009.0"/>
        <n v="20348.0"/>
        <n v="20417.0"/>
        <n v="20358.0"/>
        <n v="20052.0"/>
        <n v="20065.0"/>
        <n v="20321.0"/>
        <n v="20079.0"/>
        <n v="20265.0"/>
        <n v="20015.0"/>
        <n v="20169.0"/>
        <n v="20301.0"/>
        <n v="20352.0"/>
        <n v="20384.0"/>
        <n v="20081.0"/>
        <n v="20379.0"/>
        <n v="20382.0"/>
        <n v="20238.0"/>
        <n v="20010.0"/>
        <n v="20293.0"/>
        <n v="20343.0"/>
        <n v="20167.0"/>
        <n v="20206.0"/>
        <n v="20134.0"/>
        <n v="20182.0"/>
        <n v="20363.0"/>
        <n v="20404.0"/>
        <n v="20076.0"/>
        <n v="20156.0"/>
        <n v="20398.0"/>
        <n v="20315.0"/>
        <n v="20304.0"/>
        <n v="20208.0"/>
        <n v="20186.0"/>
        <n v="20281.0"/>
        <n v="20011.0"/>
        <n v="20112.0"/>
        <n v="20270.0"/>
        <n v="20325.0"/>
        <n v="20056.0"/>
        <n v="20192.0"/>
        <n v="20179.0"/>
        <n v="20201.0"/>
        <n v="20368.0"/>
        <n v="20259.0"/>
        <n v="20305.0"/>
        <n v="20176.0"/>
        <n v="20191.0"/>
        <n v="20239.0"/>
        <n v="20364.0"/>
        <n v="20046.0"/>
        <n v="20362.0"/>
        <n v="20047.0"/>
        <n v="20354.0"/>
        <n v="20371.0"/>
        <n v="20005.0"/>
        <n v="20210.0"/>
        <n v="20100.0"/>
        <n v="20255.0"/>
        <n v="20108.0"/>
        <n v="20341.0"/>
        <n v="20165.0"/>
        <n v="20285.0"/>
        <n v="20209.0"/>
        <n v="20039.0"/>
        <n v="20318.0"/>
        <n v="20149.0"/>
        <n v="20402.0"/>
        <n v="20416.0"/>
        <n v="20170.0"/>
        <n v="20157.0"/>
        <n v="20387.0"/>
        <n v="20283.0"/>
        <n v="20234.0"/>
        <n v="20419.0"/>
        <n v="20017.0"/>
        <n v="20070.0"/>
        <n v="20326.0"/>
        <n v="20391.0"/>
        <n v="20024.0"/>
        <n v="20044.0"/>
        <n v="20071.0"/>
        <n v="20036.0"/>
        <n v="20072.0"/>
        <n v="20109.0"/>
        <n v="20286.0"/>
        <n v="20344.0"/>
        <n v="20054.0"/>
        <n v="20375.0"/>
        <n v="20137.0"/>
        <n v="20314.0"/>
        <n v="20214.0"/>
        <n v="20242.0"/>
        <n v="20067.0"/>
        <n v="20306.0"/>
        <n v="20331.0"/>
        <n v="20237.0"/>
        <n v="20345.0"/>
        <n v="20050.0"/>
        <n v="20268.0"/>
        <n v="20066.0"/>
        <n v="20385.0"/>
        <n v="20376.0"/>
        <n v="20105.0"/>
        <n v="20356.0"/>
        <n v="20007.0"/>
        <n v="20311.0"/>
        <n v="20396.0"/>
        <n v="20177.0"/>
        <n v="20226.0"/>
        <n v="20001.0"/>
        <n v="20204.0"/>
        <n v="20148.0"/>
        <n v="20370.0"/>
        <n v="20016.0"/>
        <n v="20253.0"/>
        <n v="20260.0"/>
        <n v="20021.0"/>
        <n v="20158.0"/>
        <n v="20178.0"/>
        <n v="20244.0"/>
        <n v="20372.0"/>
        <n v="20399.0"/>
        <n v="20141.0"/>
        <n v="20329.0"/>
        <n v="20386.0"/>
        <n v="20041.0"/>
        <n v="20272.0"/>
        <n v="20355.0"/>
        <n v="20088.0"/>
        <n v="20018.0"/>
        <n v="20340.0"/>
        <n v="20361.0"/>
        <n v="20333.0"/>
        <n v="20353.0"/>
        <n v="20095.0"/>
        <n v="20407.0"/>
        <n v="20132.0"/>
        <n v="20228.0"/>
        <n v="20032.0"/>
        <n v="20159.0"/>
        <n v="20219.0"/>
        <n v="20327.0"/>
        <n v="20055.0"/>
        <n v="20084.0"/>
        <n v="20251.0"/>
        <n v="20077.0"/>
        <n v="20171.0"/>
        <n v="20062.0"/>
        <n v="20243.0"/>
        <n v="20400.0"/>
        <n v="20064.0"/>
        <n v="20230.0"/>
      </sharedItems>
    </cacheField>
    <cacheField name="Order Date" numFmtId="164">
      <sharedItems containsSemiMixedTypes="0" containsNonDate="0" containsDate="1" containsString="0">
        <d v="2025-01-01T00:00:00Z"/>
        <d v="2025-01-04T00:00:00Z"/>
        <d v="2025-01-05T00:00:00Z"/>
        <d v="2025-01-06T00:00:00Z"/>
        <d v="2025-01-09T00:00:00Z"/>
        <d v="2025-01-10T00:00:00Z"/>
        <d v="2025-01-11T00:00:00Z"/>
        <d v="2025-01-12T00:00:00Z"/>
        <d v="2025-01-13T00:00:00Z"/>
        <d v="2025-01-15T00:00:00Z"/>
        <d v="2025-01-16T00:00:00Z"/>
        <d v="2025-01-17T00:00:00Z"/>
        <d v="2025-01-22T00:00:00Z"/>
        <d v="2025-01-23T00:00:00Z"/>
        <d v="2025-01-24T00:00:00Z"/>
        <d v="2025-01-25T00:00:00Z"/>
        <d v="2025-01-27T00:00:00Z"/>
        <d v="2025-01-28T00:00:00Z"/>
        <d v="2025-01-29T00:00:00Z"/>
        <d v="2025-01-30T00:00:00Z"/>
        <d v="2025-01-31T00:00:00Z"/>
        <d v="2025-02-01T00:00:00Z"/>
        <d v="2025-02-02T00:00:00Z"/>
        <d v="2025-02-04T00:00:00Z"/>
        <d v="2025-02-05T00:00:00Z"/>
        <d v="2025-02-07T00:00:00Z"/>
        <d v="2025-02-08T00:00:00Z"/>
        <d v="2025-02-10T00:00:00Z"/>
        <d v="2025-02-13T00:00:00Z"/>
        <d v="2025-02-15T00:00:00Z"/>
        <d v="2025-02-16T00:00:00Z"/>
        <d v="2025-02-17T00:00:00Z"/>
        <d v="2025-02-20T00:00:00Z"/>
        <d v="2025-02-21T00:00:00Z"/>
        <d v="2025-02-23T00:00:00Z"/>
        <d v="2025-02-24T00:00:00Z"/>
        <d v="2025-02-25T00:00:00Z"/>
        <d v="2025-02-26T00:00:00Z"/>
        <d v="2025-03-01T00:00:00Z"/>
        <d v="2025-03-02T00:00:00Z"/>
        <d v="2025-03-05T00:00:00Z"/>
        <d v="2025-03-07T00:00:00Z"/>
        <d v="2025-03-08T00:00:00Z"/>
        <d v="2025-03-09T00:00:00Z"/>
        <d v="2025-03-10T00:00:00Z"/>
        <d v="2025-03-11T00:00:00Z"/>
        <d v="2025-03-12T00:00:00Z"/>
        <d v="2025-03-15T00:00:00Z"/>
        <d v="2025-03-18T00:00:00Z"/>
        <d v="2025-03-20T00:00:00Z"/>
        <d v="2025-03-22T00:00:00Z"/>
        <d v="2025-03-23T00:00:00Z"/>
        <d v="2025-03-25T00:00:00Z"/>
        <d v="2025-03-26T00:00:00Z"/>
        <d v="2025-03-27T00:00:00Z"/>
        <d v="2025-03-29T00:00:00Z"/>
        <d v="2025-03-30T00:00:00Z"/>
        <d v="2025-03-31T00:00:00Z"/>
        <d v="2025-04-01T00:00:00Z"/>
        <d v="2025-04-02T00:00:00Z"/>
        <d v="2025-04-03T00:00:00Z"/>
        <d v="2025-04-04T00:00:00Z"/>
        <d v="2025-04-06T00:00:00Z"/>
        <d v="2025-04-07T00:00:00Z"/>
        <d v="2025-04-08T00:00:00Z"/>
        <d v="2025-04-10T00:00:00Z"/>
        <d v="2025-04-12T00:00:00Z"/>
        <d v="2025-04-13T00:00:00Z"/>
        <d v="2025-04-16T00:00:00Z"/>
        <d v="2025-04-17T00:00:00Z"/>
        <d v="2025-04-18T00:00:00Z"/>
        <d v="2025-04-19T00:00:00Z"/>
        <d v="2025-04-21T00:00:00Z"/>
        <d v="2025-04-23T00:00:00Z"/>
        <d v="2025-04-24T00:00:00Z"/>
        <d v="2025-04-25T00:00:00Z"/>
        <d v="2025-04-26T00:00:00Z"/>
        <d v="2025-04-28T00:00:00Z"/>
        <d v="2025-04-29T00:00:00Z"/>
        <d v="2025-04-30T00:00:00Z"/>
        <d v="2025-05-01T00:00:00Z"/>
        <d v="2025-05-04T00:00:00Z"/>
        <d v="2025-05-06T00:00:00Z"/>
        <d v="2025-05-07T00:00:00Z"/>
        <d v="2025-05-08T00:00:00Z"/>
        <d v="2025-05-09T00:00:00Z"/>
        <d v="2025-05-11T00:00:00Z"/>
        <d v="2025-05-13T00:00:00Z"/>
        <d v="2025-05-14T00:00:00Z"/>
        <d v="2025-05-15T00:00:00Z"/>
        <d v="2025-05-16T00:00:00Z"/>
        <d v="2025-05-17T00:00:00Z"/>
        <d v="2025-05-18T00:00:00Z"/>
        <d v="2025-05-19T00:00:00Z"/>
        <d v="2025-05-20T00:00:00Z"/>
        <d v="2025-05-23T00:00:00Z"/>
        <d v="2025-05-24T00:00:00Z"/>
        <d v="2025-05-27T00:00:00Z"/>
        <d v="2025-05-29T00:00:00Z"/>
        <d v="2025-05-30T00:00:00Z"/>
        <d v="2025-05-31T00:00:00Z"/>
        <d v="2025-06-02T00:00:00Z"/>
        <d v="2025-06-03T00:00:00Z"/>
        <d v="2025-06-04T00:00:00Z"/>
        <d v="2025-06-05T00:00:00Z"/>
        <d v="2025-06-06T00:00:00Z"/>
        <d v="2025-06-08T00:00:00Z"/>
        <d v="2025-06-10T00:00:00Z"/>
        <d v="2025-06-11T00:00:00Z"/>
        <d v="2025-06-13T00:00:00Z"/>
        <d v="2025-06-14T00:00:00Z"/>
        <d v="2025-06-16T00:00:00Z"/>
        <d v="2025-06-17T00:00:00Z"/>
        <d v="2025-06-19T00:00:00Z"/>
        <d v="2025-06-20T00:00:00Z"/>
        <d v="2025-06-21T00:00:00Z"/>
        <d v="2025-06-22T00:00:00Z"/>
        <d v="2025-06-23T00:00:00Z"/>
        <d v="2025-06-24T00:00:00Z"/>
        <d v="2025-06-25T00:00:00Z"/>
        <d v="2025-06-26T00:00:00Z"/>
        <d v="2025-06-27T00:00:00Z"/>
        <d v="2025-06-28T00:00:00Z"/>
        <d v="2025-06-30T00:00:00Z"/>
        <d v="2025-07-01T00:00:00Z"/>
        <d v="2025-07-03T00:00:00Z"/>
        <d v="2025-07-04T00:00:00Z"/>
        <d v="2025-07-06T00:00:00Z"/>
        <d v="2025-07-07T00:00:00Z"/>
        <d v="2025-07-08T00:00:00Z"/>
        <d v="2025-07-09T00:00:00Z"/>
        <d v="2025-07-10T00:00:00Z"/>
        <d v="2025-07-11T00:00:00Z"/>
        <d v="2025-07-13T00:00:00Z"/>
        <d v="2025-07-14T00:00:00Z"/>
        <d v="2025-07-15T00:00:00Z"/>
        <d v="2025-07-16T00:00:00Z"/>
        <d v="2025-07-18T00:00:00Z"/>
        <d v="2025-07-19T00:00:00Z"/>
        <d v="2025-07-21T00:00:00Z"/>
        <d v="2025-07-22T00:00:00Z"/>
        <d v="2025-07-23T00:00:00Z"/>
        <d v="2025-07-25T00:00:00Z"/>
        <d v="2025-07-29T00:00:00Z"/>
        <d v="2025-07-31T00:00:00Z"/>
        <d v="2025-08-02T00:00:00Z"/>
        <d v="2025-08-05T00:00:00Z"/>
        <d v="2025-08-09T00:00:00Z"/>
        <d v="2025-08-11T00:00:00Z"/>
        <d v="2025-08-13T00:00:00Z"/>
        <d v="2025-08-14T00:00:00Z"/>
        <d v="2025-08-16T00:00:00Z"/>
        <d v="2025-08-17T00:00:00Z"/>
        <d v="2025-08-18T00:00:00Z"/>
        <d v="2025-08-19T00:00:00Z"/>
        <d v="2025-08-20T00:00:00Z"/>
        <d v="2025-08-21T00:00:00Z"/>
        <d v="2025-08-22T00:00:00Z"/>
        <d v="2025-08-23T00:00:00Z"/>
        <d v="2025-08-25T00:00:00Z"/>
        <d v="2025-08-26T00:00:00Z"/>
        <d v="2025-08-27T00:00:00Z"/>
        <d v="2025-08-29T00:00:00Z"/>
        <d v="2025-08-30T00:00:00Z"/>
        <d v="2025-09-01T00:00:00Z"/>
        <d v="2025-09-03T00:00:00Z"/>
        <d v="2025-09-05T00:00:00Z"/>
        <d v="2025-09-07T00:00:00Z"/>
        <d v="2025-09-09T00:00:00Z"/>
        <d v="2025-09-10T00:00:00Z"/>
        <d v="2025-09-13T00:00:00Z"/>
        <d v="2025-09-14T00:00:00Z"/>
        <d v="2025-09-16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9T00:00:00Z"/>
        <d v="2025-10-10T00:00:00Z"/>
        <d v="2025-10-11T00:00:00Z"/>
        <d v="2025-10-12T00:00:00Z"/>
        <d v="2025-10-13T00:00:00Z"/>
        <d v="2025-10-15T00:00:00Z"/>
        <d v="2025-10-16T00:00:00Z"/>
        <d v="2025-10-17T00:00:00Z"/>
        <d v="2025-10-19T00:00:00Z"/>
        <d v="2025-10-20T00:00:00Z"/>
        <d v="2025-10-21T00:00:00Z"/>
        <d v="2025-10-22T00:00:00Z"/>
        <d v="2025-10-24T00:00:00Z"/>
        <d v="2025-10-25T00:00:00Z"/>
        <d v="2025-10-26T00:00:00Z"/>
        <d v="2025-10-27T00:00:00Z"/>
        <d v="2025-10-28T00:00:00Z"/>
        <d v="2025-10-29T00:00:00Z"/>
        <d v="2025-11-01T00:00:00Z"/>
        <d v="2025-11-02T00:00:00Z"/>
        <d v="2025-11-03T00:00:00Z"/>
        <d v="2025-11-04T00:00:00Z"/>
        <d v="2025-11-05T00:00:00Z"/>
        <d v="2025-11-06T00:00:00Z"/>
        <d v="2025-11-07T00:00:00Z"/>
        <d v="2025-11-08T00:00:00Z"/>
        <d v="2025-11-11T00:00:00Z"/>
        <d v="2025-11-12T00:00:00Z"/>
        <d v="2025-11-13T00:00:00Z"/>
        <d v="2025-11-14T00:00:00Z"/>
        <d v="2025-11-15T00:00:00Z"/>
        <d v="2025-11-18T00:00:00Z"/>
        <d v="2025-11-19T00:00:00Z"/>
        <d v="2025-11-20T00:00:00Z"/>
        <d v="2025-11-21T00:00:00Z"/>
        <d v="2025-11-22T00:00:00Z"/>
        <d v="2025-11-23T00:00:00Z"/>
        <d v="2025-11-24T00:00:00Z"/>
        <d v="2025-11-25T00:00:00Z"/>
        <d v="2025-11-27T00:00:00Z"/>
        <d v="2025-11-29T00:00:00Z"/>
        <d v="2025-11-30T00:00:00Z"/>
        <d v="2025-12-01T00:00:00Z"/>
        <d v="2025-12-02T00:00:00Z"/>
        <d v="2025-12-03T00:00:00Z"/>
        <d v="2025-12-05T00:00:00Z"/>
        <d v="2025-12-06T00:00:00Z"/>
        <d v="2025-12-07T00:00:00Z"/>
        <d v="2025-12-08T00:00:00Z"/>
        <d v="2025-12-09T00:00:00Z"/>
        <d v="2025-12-10T00:00:00Z"/>
        <d v="2025-12-12T00:00:00Z"/>
        <d v="2025-12-13T00:00:00Z"/>
        <d v="2025-12-14T00:00:00Z"/>
        <d v="2025-12-16T00:00:00Z"/>
        <d v="2025-12-17T00:00:00Z"/>
        <d v="2025-12-18T00:00:00Z"/>
        <d v="2025-12-20T00:00:00Z"/>
        <d v="2025-12-21T00:00:00Z"/>
        <d v="2025-12-23T00:00:00Z"/>
        <d v="2025-12-24T00:00:00Z"/>
        <d v="2025-12-25T00:00:00Z"/>
        <d v="2025-12-26T00:00:00Z"/>
        <d v="2025-12-27T00:00:00Z"/>
        <d v="2025-12-29T00:00:00Z"/>
        <d v="2025-12-30T00:00:00Z"/>
      </sharedItems>
      <fieldGroup par="22"/>
    </cacheField>
    <cacheField name="City" numFmtId="0">
      <sharedItems>
        <s v="Patna"/>
        <s v="Kochi"/>
        <s v="Kolkata"/>
        <s v="Chandigarh"/>
        <s v="Surat"/>
        <s v="Bengaluru"/>
        <s v="Bhubaneswar"/>
        <s v="Mumbai"/>
        <s v="Pune"/>
        <s v="Guwahati"/>
        <s v="Hyderabad"/>
        <s v="Chennai"/>
        <s v="Lucknow"/>
        <s v="Gurugram"/>
        <s v="Delhi"/>
        <s v="Ahmedabad"/>
      </sharedItems>
    </cacheField>
    <cacheField name="Region" numFmtId="0">
      <sharedItems>
        <s v="North"/>
        <s v="South"/>
        <s v="East"/>
        <s v="West"/>
      </sharedItems>
    </cacheField>
    <cacheField name="Category" numFmtId="0">
      <sharedItems>
        <s v="Groceries"/>
        <s v="Home &amp; Kitchen"/>
        <s v="Apparel"/>
        <s v="Personal Care"/>
        <s v="Electronics"/>
      </sharedItems>
    </cacheField>
    <cacheField name="Product" numFmtId="0">
      <sharedItems>
        <s v="Storage Container Set"/>
        <s v="Denim Jeans"/>
        <s v="Formal Shirt"/>
        <s v="Face Wash"/>
        <s v="Steel Dinner Set"/>
        <s v="Water Bottle 1L"/>
        <s v="Sugar 1kg"/>
        <s v="Mustard Oil 1L"/>
        <s v="Women Saree"/>
        <s v="Mixer Grinder"/>
        <s v="Shampoo 200ml"/>
        <s v="Soap Pack of 4"/>
        <s v="Toothpaste 200g"/>
        <s v="Hair Oil 200ml"/>
        <s v="Bluetooth Speaker"/>
        <s v="LED TV 32in"/>
        <s v="Non-stick Tawa"/>
        <s v="Tea Powder 500g"/>
        <s v="Kids T-Shirt"/>
        <s v="Cotton Dupatta"/>
        <s v="Toor Dal 1kg"/>
        <s v="Ceiling Fan"/>
        <s v="Men Kurta"/>
        <s v="Bedsheet Set"/>
        <s v="Basmati Rice 5kg"/>
        <s v="Iron Box"/>
        <s v="Pressure Cooker"/>
        <s v="Atta 10kg"/>
      </sharedItems>
    </cacheField>
    <cacheField name="Qty Sold" numFmtId="0">
      <sharedItems containsSemiMixedTypes="0" containsString="0" containsNumber="1" containsInteger="1">
        <n v="6.0"/>
        <n v="14.0"/>
        <n v="7.0"/>
        <n v="15.0"/>
        <n v="13.0"/>
        <n v="1.0"/>
        <n v="10.0"/>
        <n v="4.0"/>
        <n v="8.0"/>
        <n v="11.0"/>
        <n v="12.0"/>
        <n v="2.0"/>
        <n v="9.0"/>
        <n v="3.0"/>
        <n v="5.0"/>
      </sharedItems>
    </cacheField>
    <cacheField name="Unit Price (Rs)" numFmtId="3">
      <sharedItems containsSemiMixedTypes="0" containsString="0" containsNumber="1" containsInteger="1">
        <n v="1138.0"/>
        <n v="1829.0"/>
        <n v="984.0"/>
        <n v="266.0"/>
        <n v="932.0"/>
        <n v="1962.0"/>
        <n v="184.0"/>
        <n v="559.0"/>
        <n v="1294.0"/>
        <n v="5520.0"/>
        <n v="442.0"/>
        <n v="496.0"/>
        <n v="158.0"/>
        <n v="625.0"/>
        <n v="511.0"/>
        <n v="112.0"/>
        <n v="427.0"/>
        <n v="2231.0"/>
        <n v="1212.0"/>
        <n v="321.0"/>
        <n v="124.0"/>
        <n v="503.0"/>
        <n v="213.0"/>
        <n v="3129.0"/>
        <n v="364.0"/>
        <n v="6646.0"/>
        <n v="2380.0"/>
        <n v="371.0"/>
        <n v="126.0"/>
        <n v="1742.0"/>
        <n v="2245.0"/>
        <n v="326.0"/>
        <n v="500.0"/>
        <n v="1234.0"/>
        <n v="169.0"/>
        <n v="99.0"/>
        <n v="1691.0"/>
        <n v="95.0"/>
        <n v="1902.0"/>
        <n v="1765.0"/>
        <n v="1894.0"/>
        <n v="390.0"/>
        <n v="1352.0"/>
        <n v="977.0"/>
        <n v="199.0"/>
        <n v="1233.0"/>
        <n v="2186.0"/>
        <n v="1057.0"/>
        <n v="539.0"/>
        <n v="631.0"/>
        <n v="513.0"/>
        <n v="1422.0"/>
        <n v="1432.0"/>
        <n v="642.0"/>
        <n v="1195.0"/>
        <n v="276.0"/>
        <n v="1434.0"/>
        <n v="787.0"/>
        <n v="338.0"/>
        <n v="261.0"/>
        <n v="4149.0"/>
        <n v="233.0"/>
        <n v="127.0"/>
        <n v="523.0"/>
        <n v="446.0"/>
        <n v="274.0"/>
        <n v="873.0"/>
        <n v="192.0"/>
        <n v="79.0"/>
        <n v="267.0"/>
        <n v="239.0"/>
        <n v="463.0"/>
        <n v="310.0"/>
        <n v="566.0"/>
        <n v="560.0"/>
        <n v="316.0"/>
        <n v="5945.0"/>
        <n v="223.0"/>
        <n v="583.0"/>
        <n v="238.0"/>
        <n v="2241.0"/>
        <n v="1103.0"/>
        <n v="1897.0"/>
        <n v="989.0"/>
        <n v="515.0"/>
        <n v="299.0"/>
        <n v="7816.0"/>
        <n v="828.0"/>
        <n v="2213.0"/>
        <n v="1150.0"/>
        <n v="2174.0"/>
        <n v="1788.0"/>
        <n v="592.0"/>
        <n v="2473.0"/>
        <n v="3688.0"/>
        <n v="588.0"/>
        <n v="372.0"/>
        <n v="596.0"/>
        <n v="770.0"/>
        <n v="115.0"/>
        <n v="240.0"/>
        <n v="4689.0"/>
        <n v="509.0"/>
        <n v="962.0"/>
        <n v="347.0"/>
        <n v="1804.0"/>
        <n v="391.0"/>
        <n v="548.0"/>
        <n v="1410.0"/>
        <n v="6496.0"/>
        <n v="696.0"/>
        <n v="264.0"/>
        <n v="413.0"/>
        <n v="3814.0"/>
        <n v="745.0"/>
        <n v="407.0"/>
        <n v="4776.0"/>
        <n v="433.0"/>
        <n v="209.0"/>
        <n v="5507.0"/>
        <n v="1347.0"/>
        <n v="656.0"/>
        <n v="416.0"/>
        <n v="1637.0"/>
        <n v="373.0"/>
        <n v="154.0"/>
        <n v="7751.0"/>
        <n v="1638.0"/>
        <n v="1548.0"/>
        <n v="203.0"/>
        <n v="1369.0"/>
        <n v="301.0"/>
        <n v="200.0"/>
        <n v="146.0"/>
        <n v="123.0"/>
        <n v="190.0"/>
        <n v="1058.0"/>
        <n v="540.0"/>
        <n v="1857.0"/>
        <n v="234.0"/>
        <n v="252.0"/>
        <n v="7008.0"/>
        <n v="224.0"/>
        <n v="443.0"/>
        <n v="1292.0"/>
        <n v="344.0"/>
        <n v="2192.0"/>
        <n v="930.0"/>
        <n v="1416.0"/>
        <n v="5940.0"/>
        <n v="1204.0"/>
        <n v="397.0"/>
        <n v="288.0"/>
        <n v="647.0"/>
        <n v="573.0"/>
        <n v="243.0"/>
        <n v="916.0"/>
        <n v="765.0"/>
        <n v="1481.0"/>
        <n v="1370.0"/>
        <n v="634.0"/>
        <n v="485.0"/>
        <n v="7012.0"/>
        <n v="2855.0"/>
        <n v="1530.0"/>
        <n v="242.0"/>
        <n v="422.0"/>
        <n v="436.0"/>
        <n v="517.0"/>
        <n v="5763.0"/>
        <n v="620.0"/>
        <n v="486.0"/>
        <n v="155.0"/>
        <n v="507.0"/>
        <n v="1744.0"/>
        <n v="541.0"/>
        <n v="859.0"/>
        <n v="339.0"/>
        <n v="1608.0"/>
        <n v="606.0"/>
        <n v="425.0"/>
        <n v="403.0"/>
        <n v="2345.0"/>
        <n v="870.0"/>
        <n v="4800.0"/>
        <n v="846.0"/>
        <n v="1913.0"/>
        <n v="7631.0"/>
        <n v="361.0"/>
        <n v="3855.0"/>
        <n v="6046.0"/>
        <n v="2353.0"/>
        <n v="7504.0"/>
        <n v="106.0"/>
        <n v="724.0"/>
        <n v="289.0"/>
        <n v="73.0"/>
        <n v="1885.0"/>
        <n v="225.0"/>
        <n v="545.0"/>
        <n v="182.0"/>
        <n v="404.0"/>
        <n v="6394.0"/>
        <n v="250.0"/>
        <n v="1447.0"/>
        <n v="2159.0"/>
        <n v="6155.0"/>
        <n v="1870.0"/>
        <n v="68.0"/>
        <n v="86.0"/>
        <n v="637.0"/>
        <n v="110.0"/>
        <n v="342.0"/>
        <n v="5182.0"/>
        <n v="387.0"/>
        <n v="3152.0"/>
        <n v="474.0"/>
        <n v="2223.0"/>
        <n v="1552.0"/>
        <n v="211.0"/>
        <n v="1209.0"/>
        <n v="1298.0"/>
        <n v="412.0"/>
        <n v="170.0"/>
        <n v="336.0"/>
        <n v="604.0"/>
        <n v="574.0"/>
        <n v="4935.0"/>
        <n v="3644.0"/>
        <n v="4252.0"/>
        <n v="2978.0"/>
        <n v="4011.0"/>
        <n v="6969.0"/>
        <n v="358.0"/>
        <n v="432.0"/>
        <n v="4998.0"/>
        <n v="1648.0"/>
        <n v="151.0"/>
        <n v="734.0"/>
        <n v="441.0"/>
        <n v="5360.0"/>
        <n v="163.0"/>
        <n v="4562.0"/>
        <n v="552.0"/>
        <n v="2425.0"/>
        <n v="878.0"/>
        <n v="445.0"/>
        <n v="423.0"/>
        <n v="3348.0"/>
        <n v="1314.0"/>
        <n v="400.0"/>
        <n v="1241.0"/>
        <n v="1496.0"/>
        <n v="359.0"/>
        <n v="303.0"/>
        <n v="4355.0"/>
        <n v="450.0"/>
        <n v="363.0"/>
        <n v="118.0"/>
        <n v="689.0"/>
        <n v="320.0"/>
        <n v="439.0"/>
        <n v="1403.0"/>
        <n v="1494.0"/>
        <n v="635.0"/>
        <n v="1083.0"/>
        <n v="958.0"/>
        <n v="619.0"/>
        <n v="514.0"/>
        <n v="449.0"/>
        <n v="283.0"/>
        <n v="1280.0"/>
        <n v="1125.0"/>
        <n v="461.0"/>
        <n v="217.0"/>
        <n v="1678.0"/>
        <n v="401.0"/>
        <n v="5125.0"/>
        <n v="1356.0"/>
        <n v="271.0"/>
        <n v="7578.0"/>
        <n v="1027.0"/>
        <n v="1291.0"/>
        <n v="219.0"/>
        <n v="107.0"/>
        <n v="374.0"/>
        <n v="1159.0"/>
        <n v="2170.0"/>
        <n v="8433.0"/>
        <n v="1317.0"/>
        <n v="6094.0"/>
        <n v="715.0"/>
        <n v="302.0"/>
        <n v="1179.0"/>
        <n v="292.0"/>
        <n v="5403.0"/>
        <n v="277.0"/>
        <n v="6584.0"/>
        <n v="1624.0"/>
        <n v="703.0"/>
        <n v="1132.0"/>
        <n v="295.0"/>
        <n v="210.0"/>
        <n v="428.0"/>
        <n v="1647.0"/>
        <n v="280.0"/>
        <n v="1331.0"/>
        <n v="2207.0"/>
        <n v="6255.0"/>
        <n v="167.0"/>
        <n v="1393.0"/>
        <n v="663.0"/>
        <n v="447.0"/>
        <n v="294.0"/>
        <n v="7802.0"/>
        <n v="2056.0"/>
        <n v="3083.0"/>
        <n v="652.0"/>
        <n v="180.0"/>
        <n v="196.0"/>
        <n v="3342.0"/>
        <n v="102.0"/>
        <n v="5642.0"/>
        <n v="1540.0"/>
        <n v="177.0"/>
        <n v="615.0"/>
        <n v="120.0"/>
        <n v="1112.0"/>
        <n v="3455.0"/>
        <n v="1801.0"/>
        <n v="1013.0"/>
        <n v="1221.0"/>
        <n v="5570.0"/>
        <n v="1449.0"/>
        <n v="459.0"/>
        <n v="705.0"/>
        <n v="1085.0"/>
        <n v="1854.0"/>
        <n v="279.0"/>
        <n v="160.0"/>
        <n v="4522.0"/>
        <n v="1597.0"/>
        <n v="1859.0"/>
        <n v="1266.0"/>
        <n v="369.0"/>
        <n v="2480.0"/>
        <n v="565.0"/>
        <n v="458.0"/>
        <n v="483.0"/>
        <n v="370.0"/>
        <n v="613.0"/>
        <n v="2491.0"/>
        <n v="92.0"/>
        <n v="137.0"/>
        <n v="799.0"/>
        <n v="536.0"/>
        <n v="1385.0"/>
        <n v="7080.0"/>
        <n v="7686.0"/>
        <n v="191.0"/>
        <n v="3792.0"/>
        <n v="602.0"/>
        <n v="437.0"/>
        <n v="8486.0"/>
        <n v="66.0"/>
        <n v="236.0"/>
        <n v="2890.0"/>
        <n v="1217.0"/>
        <n v="3247.0"/>
        <n v="173.0"/>
        <n v="1490.0"/>
        <n v="465.0"/>
        <n v="1199.0"/>
        <n v="3098.0"/>
        <n v="255.0"/>
        <n v="365.0"/>
        <n v="4330.0"/>
        <n v="1776.0"/>
        <n v="1690.0"/>
        <n v="476.0"/>
        <n v="557.0"/>
        <n v="231.0"/>
      </sharedItems>
    </cacheField>
    <cacheField name="Gross Amount (Rs)" numFmtId="3">
      <sharedItems containsSemiMixedTypes="0" containsString="0" containsNumber="1" containsInteger="1">
        <n v="6828.0"/>
        <n v="25606.0"/>
        <n v="6888.0"/>
        <n v="3990.0"/>
        <n v="12116.0"/>
        <n v="1962.0"/>
        <n v="184.0"/>
        <n v="5590.0"/>
        <n v="5176.0"/>
        <n v="44160.0"/>
        <n v="4862.0"/>
        <n v="6448.0"/>
        <n v="1896.0"/>
        <n v="8125.0"/>
        <n v="1022.0"/>
        <n v="1344.0"/>
        <n v="854.0"/>
        <n v="33465.0"/>
        <n v="8484.0"/>
        <n v="4815.0"/>
        <n v="868.0"/>
        <n v="3018.0"/>
        <n v="1278.0"/>
        <n v="3129.0"/>
        <n v="728.0"/>
        <n v="6646.0"/>
        <n v="4760.0"/>
        <n v="3339.0"/>
        <n v="126.0"/>
        <n v="15678.0"/>
        <n v="17960.0"/>
        <n v="2282.0"/>
        <n v="6000.0"/>
        <n v="7404.0"/>
        <n v="1690.0"/>
        <n v="736.0"/>
        <n v="99.0"/>
        <n v="3382.0"/>
        <n v="1140.0"/>
        <n v="5706.0"/>
        <n v="3530.0"/>
        <n v="11364.0"/>
        <n v="3510.0"/>
        <n v="2704.0"/>
        <n v="11724.0"/>
        <n v="1592.0"/>
        <n v="2466.0"/>
        <n v="24046.0"/>
        <n v="11627.0"/>
        <n v="1617.0"/>
        <n v="1893.0"/>
        <n v="6156.0"/>
        <n v="19908.0"/>
        <n v="21480.0"/>
        <n v="2568.0"/>
        <n v="2390.0"/>
        <n v="1380.0"/>
        <n v="14340.0"/>
        <n v="787.0"/>
        <n v="3654.0"/>
        <n v="41490.0"/>
        <n v="466.0"/>
        <n v="2796.0"/>
        <n v="127.0"/>
        <n v="5230.0"/>
        <n v="5798.0"/>
        <n v="2740.0"/>
        <n v="12222.0"/>
        <n v="2112.0"/>
        <n v="553.0"/>
        <n v="1602.0"/>
        <n v="1195.0"/>
        <n v="3704.0"/>
        <n v="2480.0"/>
        <n v="7924.0"/>
        <n v="5040.0"/>
        <n v="4740.0"/>
        <n v="4417.0"/>
        <n v="53505.0"/>
        <n v="1561.0"/>
        <n v="2332.0"/>
        <n v="2618.0"/>
        <n v="8964.0"/>
        <n v="13236.0"/>
        <n v="17073.0"/>
        <n v="2967.0"/>
        <n v="515.0"/>
        <n v="3588.0"/>
        <n v="93792.0"/>
        <n v="6624.0"/>
        <n v="882.0"/>
        <n v="33195.0"/>
        <n v="11500.0"/>
        <n v="2174.0"/>
        <n v="17880.0"/>
        <n v="3552.0"/>
        <n v="34622.0"/>
        <n v="47944.0"/>
        <n v="7644.0"/>
        <n v="1860.0"/>
        <n v="4768.0"/>
        <n v="9240.0"/>
        <n v="920.0"/>
        <n v="2160.0"/>
        <n v="14067.0"/>
        <n v="7126.0"/>
        <n v="8658.0"/>
        <n v="4858.0"/>
        <n v="12628.0"/>
        <n v="391.0"/>
        <n v="3288.0"/>
        <n v="4230.0"/>
        <n v="45472.0"/>
        <n v="6960.0"/>
        <n v="1848.0"/>
        <n v="3717.0"/>
        <n v="45768.0"/>
        <n v="745.0"/>
        <n v="407.0"/>
        <n v="52536.0"/>
        <n v="5196.0"/>
        <n v="2299.0"/>
        <n v="82605.0"/>
        <n v="6735.0"/>
        <n v="5248.0"/>
        <n v="3744.0"/>
        <n v="8185.0"/>
        <n v="2984.0"/>
        <n v="1540.0"/>
        <n v="31004.0"/>
        <n v="13104.0"/>
        <n v="6192.0"/>
        <n v="3045.0"/>
        <n v="15059.0"/>
        <n v="3913.0"/>
        <n v="3000.0"/>
        <n v="2044.0"/>
        <n v="1107.0"/>
        <n v="2280.0"/>
        <n v="2116.0"/>
        <n v="6480.0"/>
        <n v="14856.0"/>
        <n v="468.0"/>
        <n v="1512.0"/>
        <n v="49056.0"/>
        <n v="1568.0"/>
        <n v="886.0"/>
        <n v="11628.0"/>
        <n v="3440.0"/>
        <n v="13152.0"/>
        <n v="10230.0"/>
        <n v="21240.0"/>
        <n v="47520.0"/>
        <n v="2408.0"/>
        <n v="1191.0"/>
        <n v="4320.0"/>
        <n v="1294.0"/>
        <n v="4584.0"/>
        <n v="1106.0"/>
        <n v="486.0"/>
        <n v="6412.0"/>
        <n v="10710.0"/>
        <n v="8886.0"/>
        <n v="6850.0"/>
        <n v="5072.0"/>
        <n v="5335.0"/>
        <n v="35060.0"/>
        <n v="34260.0"/>
        <n v="4590.0"/>
        <n v="1452.0"/>
        <n v="3376.0"/>
        <n v="4796.0"/>
        <n v="16730.0"/>
        <n v="3619.0"/>
        <n v="57630.0"/>
        <n v="3888.0"/>
        <n v="2015.0"/>
        <n v="2028.0"/>
        <n v="20928.0"/>
        <n v="3246.0"/>
        <n v="859.0"/>
        <n v="3051.0"/>
        <n v="4824.0"/>
        <n v="3030.0"/>
        <n v="3168.0"/>
        <n v="5100.0"/>
        <n v="3224.0"/>
        <n v="2345.0"/>
        <n v="38400.0"/>
        <n v="9306.0"/>
        <n v="17217.0"/>
        <n v="114465.0"/>
        <n v="4693.0"/>
        <n v="23130.0"/>
        <n v="30230.0"/>
        <n v="7059.0"/>
        <n v="75040.0"/>
        <n v="848.0"/>
        <n v="724.0"/>
        <n v="3179.0"/>
        <n v="365.0"/>
        <n v="15080.0"/>
        <n v="3375.0"/>
        <n v="3270.0"/>
        <n v="910.0"/>
        <n v="2020.0"/>
        <n v="12788.0"/>
        <n v="1000.0"/>
        <n v="5788.0"/>
        <n v="21590.0"/>
        <n v="80015.0"/>
        <n v="28050.0"/>
        <n v="680.0"/>
        <n v="1118.0"/>
        <n v="1274.0"/>
        <n v="660.0"/>
        <n v="4446.0"/>
        <n v="5182.0"/>
        <n v="3870.0"/>
        <n v="12608.0"/>
        <n v="5688.0"/>
        <n v="11115.0"/>
        <n v="18624.0"/>
        <n v="1477.0"/>
        <n v="2418.0"/>
        <n v="12980.0"/>
        <n v="4944.0"/>
        <n v="2380.0"/>
        <n v="1680.0"/>
        <n v="9060.0"/>
        <n v="4935.0"/>
        <n v="21864.0"/>
        <n v="4412.0"/>
        <n v="17008.0"/>
        <n v="26802.0"/>
        <n v="24066.0"/>
        <n v="27876.0"/>
        <n v="1432.0"/>
        <n v="4752.0"/>
        <n v="44982.0"/>
        <n v="14832.0"/>
        <n v="1812.0"/>
        <n v="9542.0"/>
        <n v="4851.0"/>
        <n v="10720.0"/>
        <n v="326.0"/>
        <n v="36496.0"/>
        <n v="21825.0"/>
        <n v="3512.0"/>
        <n v="5340.0"/>
        <n v="5499.0"/>
        <n v="33480.0"/>
        <n v="14454.0"/>
        <n v="13651.0"/>
        <n v="5984.0"/>
        <n v="3231.0"/>
        <n v="3333.0"/>
        <n v="56615.0"/>
        <n v="6750.0"/>
        <n v="2178.0"/>
        <n v="354.0"/>
        <n v="6890.0"/>
        <n v="960.0"/>
        <n v="1317.0"/>
        <n v="19642.0"/>
        <n v="16434.0"/>
        <n v="2325.0"/>
        <n v="9525.0"/>
        <n v="3249.0"/>
        <n v="12454.0"/>
        <n v="8047.0"/>
        <n v="4626.0"/>
        <n v="1347.0"/>
        <n v="849.0"/>
        <n v="8960.0"/>
        <n v="9000.0"/>
        <n v="1383.0"/>
        <n v="3570.0"/>
        <n v="2387.0"/>
        <n v="1651.0"/>
        <n v="8390.0"/>
        <n v="14212.0"/>
        <n v="1604.0"/>
        <n v="66625.0"/>
        <n v="1356.0"/>
        <n v="813.0"/>
        <n v="75780.0"/>
        <n v="2054.0"/>
        <n v="11256.0"/>
        <n v="14201.0"/>
        <n v="1752.0"/>
        <n v="107.0"/>
        <n v="374.0"/>
        <n v="10431.0"/>
        <n v="17360.0"/>
        <n v="126495.0"/>
        <n v="7902.0"/>
        <n v="42658.0"/>
        <n v="3575.0"/>
        <n v="2114.0"/>
        <n v="3537.0"/>
        <n v="3504.0"/>
        <n v="54030.0"/>
        <n v="3047.0"/>
        <n v="26336.0"/>
        <n v="7042.0"/>
        <n v="1436.0"/>
        <n v="3248.0"/>
        <n v="1406.0"/>
        <n v="11320.0"/>
        <n v="295.0"/>
        <n v="2940.0"/>
        <n v="6420.0"/>
        <n v="14823.0"/>
        <n v="4200.0"/>
        <n v="6655.0"/>
        <n v="30898.0"/>
        <n v="68805.0"/>
        <n v="2338.0"/>
        <n v="16716.0"/>
        <n v="4641.0"/>
        <n v="4470.0"/>
        <n v="11310.0"/>
        <n v="2352.0"/>
        <n v="78020.0"/>
        <n v="10280.0"/>
        <n v="12332.0"/>
        <n v="9128.0"/>
        <n v="540.0"/>
        <n v="1764.0"/>
        <n v="46788.0"/>
        <n v="510.0"/>
        <n v="11284.0"/>
        <n v="4032.0"/>
        <n v="3920.0"/>
        <n v="20020.0"/>
        <n v="1770.0"/>
        <n v="6150.0"/>
        <n v="4448.0"/>
        <n v="6910.0"/>
        <n v="27015.0"/>
        <n v="1712.0"/>
        <n v="15195.0"/>
        <n v="13431.0"/>
        <n v="72410.0"/>
        <n v="11592.0"/>
        <n v="6885.0"/>
        <n v="9165.0"/>
        <n v="8680.0"/>
        <n v="2790.0"/>
        <n v="1600.0"/>
        <n v="9044.0"/>
        <n v="20761.0"/>
        <n v="1859.0"/>
        <n v="8862.0"/>
        <n v="3321.0"/>
        <n v="16836.0"/>
        <n v="7440.0"/>
        <n v="3720.0"/>
        <n v="4520.0"/>
        <n v="3206.0"/>
        <n v="5313.0"/>
        <n v="1850.0"/>
        <n v="5136.0"/>
        <n v="6130.0"/>
        <n v="9964.0"/>
        <n v="1644.0"/>
        <n v="5593.0"/>
        <n v="1608.0"/>
        <n v="13850.0"/>
        <n v="5070.0"/>
        <n v="56640.0"/>
        <n v="23058.0"/>
        <n v="1910.0"/>
        <n v="18960.0"/>
        <n v="2748.0"/>
        <n v="2856.0"/>
        <n v="4816.0"/>
        <n v="4807.0"/>
        <n v="42430.0"/>
        <n v="462.0"/>
        <n v="2596.0"/>
        <n v="8670.0"/>
        <n v="14604.0"/>
        <n v="3360.0"/>
        <n v="6875.0"/>
        <n v="42211.0"/>
        <n v="1730.0"/>
        <n v="19370.0"/>
        <n v="5580.0"/>
        <n v="3562.0"/>
        <n v="9200.0"/>
        <n v="6968.0"/>
        <n v="2398.0"/>
        <n v="15490.0"/>
        <n v="5564.0"/>
        <n v="3060.0"/>
        <n v="4015.0"/>
        <n v="34640.0"/>
        <n v="8880.0"/>
        <n v="8450.0"/>
        <n v="557.0"/>
        <n v="2541.0"/>
      </sharedItems>
    </cacheField>
    <cacheField name="Discount %" numFmtId="0">
      <sharedItems containsSemiMixedTypes="0" containsString="0" containsNumber="1" containsInteger="1">
        <n v="20.0"/>
        <n v="0.0"/>
        <n v="10.0"/>
        <n v="15.0"/>
        <n v="5.0"/>
      </sharedItems>
    </cacheField>
    <cacheField name="Discount Amount (Rs)" numFmtId="3">
      <sharedItems containsSemiMixedTypes="0" containsString="0" containsNumber="1">
        <n v="1365.6000000000001"/>
        <n v="5121.200000000001"/>
        <n v="1377.6000000000001"/>
        <n v="0.0"/>
        <n v="1212.0"/>
        <n v="392.0"/>
        <n v="28.0"/>
        <n v="8832.0"/>
        <n v="190.0"/>
        <n v="406.0"/>
        <n v="204.0"/>
        <n v="482.0"/>
        <n v="87.0"/>
        <n v="151.0"/>
        <n v="156.0"/>
        <n v="73.0"/>
        <n v="952.0"/>
        <n v="3592.0"/>
        <n v="456.0"/>
        <n v="300.0"/>
        <n v="110.0"/>
        <n v="10.0"/>
        <n v="571.0"/>
        <n v="1136.0"/>
        <n v="176.0"/>
        <n v="135.0"/>
        <n v="1172.0"/>
        <n v="239.0"/>
        <n v="370.0"/>
        <n v="1744.0"/>
        <n v="81.0"/>
        <n v="284.0"/>
        <n v="128.0"/>
        <n v="478.0"/>
        <n v="138.0"/>
        <n v="717.0"/>
        <n v="8298.0"/>
        <n v="47.0"/>
        <n v="140.0"/>
        <n v="160.0"/>
        <n v="120.0"/>
        <n v="792.0"/>
        <n v="663.0"/>
        <n v="2675.0"/>
        <n v="78.0"/>
        <n v="103.0"/>
        <n v="9379.0"/>
        <n v="1325.0"/>
        <n v="88.0"/>
        <n v="575.0"/>
        <n v="326.0"/>
        <n v="894.0"/>
        <n v="1731.0"/>
        <n v="4794.0"/>
        <n v="1529.0"/>
        <n v="359.0"/>
        <n v="1386.0"/>
        <n v="324.0"/>
        <n v="2813.0"/>
        <n v="243.0"/>
        <n v="1263.0"/>
        <n v="39.0"/>
        <n v="164.0"/>
        <n v="634.0"/>
        <n v="9094.0"/>
        <n v="277.0"/>
        <n v="186.0"/>
        <n v="6865.0"/>
        <n v="149.0"/>
        <n v="61.0"/>
        <n v="2627.0"/>
        <n v="779.0"/>
        <n v="345.0"/>
        <n v="8260.0"/>
        <n v="674.0"/>
        <n v="374.0"/>
        <n v="6201.0"/>
        <n v="1966.0"/>
        <n v="196.0"/>
        <n v="600.0"/>
        <n v="317.0"/>
        <n v="1296.0"/>
        <n v="2971.0"/>
        <n v="94.0"/>
        <n v="9811.0"/>
        <n v="133.0"/>
        <n v="688.0"/>
        <n v="1315.0"/>
        <n v="1023.0"/>
        <n v="361.0"/>
        <n v="179.0"/>
        <n v="194.0"/>
        <n v="166.0"/>
        <n v="93.0"/>
        <n v="962.0"/>
        <n v="1606.0"/>
        <n v="507.0"/>
        <n v="267.0"/>
        <n v="5259.0"/>
        <n v="5139.0"/>
        <n v="459.0"/>
        <n v="506.0"/>
        <n v="719.0"/>
        <n v="836.0"/>
        <n v="5763.0"/>
        <n v="124.0"/>
        <n v="101.0"/>
        <n v="649.0"/>
        <n v="86.0"/>
        <n v="1020.0"/>
        <n v="645.0"/>
        <n v="234.0"/>
        <n v="1722.0"/>
        <n v="5723.0"/>
        <n v="939.0"/>
        <n v="1156.0"/>
        <n v="706.0"/>
        <n v="7504.0"/>
        <n v="170.0"/>
        <n v="477.0"/>
        <n v="1508.0"/>
        <n v="182.0"/>
        <n v="202.0"/>
        <n v="1279.0"/>
        <n v="200.0"/>
        <n v="2159.0"/>
        <n v="8002.0"/>
        <n v="68.0"/>
        <n v="127.0"/>
        <n v="132.0"/>
        <n v="1036.0"/>
        <n v="387.0"/>
        <n v="1138.0"/>
        <n v="556.0"/>
        <n v="1298.0"/>
        <n v="476.0"/>
        <n v="906.0"/>
        <n v="494.0"/>
        <n v="4373.0"/>
        <n v="882.0"/>
        <n v="5360.0"/>
        <n v="2407.0"/>
        <n v="5575.0"/>
        <n v="950.0"/>
        <n v="1483.0"/>
        <n v="970.0"/>
        <n v="536.0"/>
        <n v="65.0"/>
        <n v="3650.0"/>
        <n v="534.0"/>
        <n v="550.0"/>
        <n v="5022.0"/>
        <n v="2891.0"/>
        <n v="1200.0"/>
        <n v="2730.0"/>
        <n v="323.0"/>
        <n v="11323.0"/>
        <n v="338.0"/>
        <n v="436.0"/>
        <n v="18.0"/>
        <n v="1378.0"/>
        <n v="192.0"/>
        <n v="2946.0"/>
        <n v="1643.0"/>
        <n v="325.0"/>
        <n v="1245.0"/>
        <n v="463.0"/>
        <n v="42.0"/>
        <n v="900.0"/>
        <n v="178.0"/>
        <n v="330.0"/>
        <n v="1421.0"/>
        <n v="9994.0"/>
        <n v="205.0"/>
        <n v="1126.0"/>
        <n v="2840.0"/>
        <n v="350.0"/>
        <n v="522.0"/>
        <n v="1580.0"/>
        <n v="287.0"/>
        <n v="2264.0"/>
        <n v="30.0"/>
        <n v="2965.0"/>
        <n v="468.0"/>
        <n v="2507.0"/>
        <n v="1028.0"/>
        <n v="2466.0"/>
        <n v="913.0"/>
        <n v="4679.0"/>
        <n v="51.0"/>
        <n v="564.0"/>
        <n v="605.0"/>
        <n v="159.0"/>
        <n v="1001.0"/>
        <n v="354.0"/>
        <n v="890.0"/>
        <n v="346.0"/>
        <n v="4052.0"/>
        <n v="257.0"/>
        <n v="7241.0"/>
        <n v="1159.0"/>
        <n v="1833.0"/>
        <n v="1302.0"/>
        <n v="558.0"/>
        <n v="320.0"/>
        <n v="904.0"/>
        <n v="4152.0"/>
        <n v="886.0"/>
        <n v="842.0"/>
        <n v="372.0"/>
        <n v="531.0"/>
        <n v="278.0"/>
        <n v="1993.0"/>
        <n v="2078.0"/>
        <n v="1014.0"/>
        <n v="8496.0"/>
        <n v="1153.0"/>
        <n v="96.0"/>
        <n v="1896.0"/>
        <n v="286.0"/>
        <n v="963.0"/>
        <n v="389.0"/>
        <n v="730.0"/>
        <n v="672.0"/>
        <n v="1031.0"/>
        <n v="8442.0"/>
        <n v="260.0"/>
        <n v="968.0"/>
        <n v="712.0"/>
        <n v="1840.0"/>
        <n v="1394.0"/>
        <n v="1113.0"/>
        <n v="1425.0"/>
        <n v="1732.0"/>
        <n v="1690.0"/>
        <n v="119.0"/>
        <n v="254.0"/>
      </sharedItems>
    </cacheField>
    <cacheField name="Net Sales (Rs)" numFmtId="3">
      <sharedItems containsSemiMixedTypes="0" containsString="0" containsNumber="1" containsInteger="1">
        <n v="5462.0"/>
        <n v="20485.0"/>
        <n v="6888.0"/>
        <n v="3990.0"/>
        <n v="10904.0"/>
        <n v="1570.0"/>
        <n v="156.0"/>
        <n v="5590.0"/>
        <n v="5176.0"/>
        <n v="35328.0"/>
        <n v="4862.0"/>
        <n v="6448.0"/>
        <n v="1706.0"/>
        <n v="7719.0"/>
        <n v="818.0"/>
        <n v="1344.0"/>
        <n v="854.0"/>
        <n v="33465.0"/>
        <n v="8484.0"/>
        <n v="4333.0"/>
        <n v="781.0"/>
        <n v="2867.0"/>
        <n v="1278.0"/>
        <n v="2973.0"/>
        <n v="655.0"/>
        <n v="6646.0"/>
        <n v="3808.0"/>
        <n v="3339.0"/>
        <n v="126.0"/>
        <n v="15678.0"/>
        <n v="14368.0"/>
        <n v="1826.0"/>
        <n v="5700.0"/>
        <n v="7404.0"/>
        <n v="1690.0"/>
        <n v="626.0"/>
        <n v="89.0"/>
        <n v="3382.0"/>
        <n v="1140.0"/>
        <n v="5135.0"/>
        <n v="3530.0"/>
        <n v="10228.0"/>
        <n v="3334.0"/>
        <n v="2569.0"/>
        <n v="10552.0"/>
        <n v="1353.0"/>
        <n v="2096.0"/>
        <n v="24046.0"/>
        <n v="9883.0"/>
        <n v="1536.0"/>
        <n v="1609.0"/>
        <n v="6156.0"/>
        <n v="19908.0"/>
        <n v="21480.0"/>
        <n v="2440.0"/>
        <n v="1912.0"/>
        <n v="1242.0"/>
        <n v="13623.0"/>
        <n v="787.0"/>
        <n v="2704.0"/>
        <n v="3654.0"/>
        <n v="33192.0"/>
        <n v="419.0"/>
        <n v="2656.0"/>
        <n v="127.0"/>
        <n v="5230.0"/>
        <n v="5798.0"/>
        <n v="2740.0"/>
        <n v="12222.0"/>
        <n v="2112.0"/>
        <n v="553.0"/>
        <n v="1442.0"/>
        <n v="1075.0"/>
        <n v="3704.0"/>
        <n v="2480.0"/>
        <n v="7132.0"/>
        <n v="5040.0"/>
        <n v="4740.0"/>
        <n v="3754.0"/>
        <n v="50830.0"/>
        <n v="1483.0"/>
        <n v="2332.0"/>
        <n v="2618.0"/>
        <n v="8964.0"/>
        <n v="13236.0"/>
        <n v="17073.0"/>
        <n v="2967.0"/>
        <n v="412.0"/>
        <n v="3588.0"/>
        <n v="84413.0"/>
        <n v="5299.0"/>
        <n v="794.0"/>
        <n v="33195.0"/>
        <n v="10925.0"/>
        <n v="1848.0"/>
        <n v="16986.0"/>
        <n v="3552.0"/>
        <n v="32891.0"/>
        <n v="43150.0"/>
        <n v="6115.0"/>
        <n v="3229.0"/>
        <n v="1860.0"/>
        <n v="4768.0"/>
        <n v="7854.0"/>
        <n v="920.0"/>
        <n v="1836.0"/>
        <n v="11254.0"/>
        <n v="7126.0"/>
        <n v="8658.0"/>
        <n v="4615.0"/>
        <n v="11365.0"/>
        <n v="352.0"/>
        <n v="3124.0"/>
        <n v="3596.0"/>
        <n v="36378.0"/>
        <n v="6960.0"/>
        <n v="1571.0"/>
        <n v="3531.0"/>
        <n v="38903.0"/>
        <n v="596.0"/>
        <n v="346.0"/>
        <n v="49909.0"/>
        <n v="4417.0"/>
        <n v="1954.0"/>
        <n v="74345.0"/>
        <n v="6061.0"/>
        <n v="5248.0"/>
        <n v="3370.0"/>
        <n v="8185.0"/>
        <n v="2835.0"/>
        <n v="1540.0"/>
        <n v="24803.0"/>
        <n v="11138.0"/>
        <n v="6192.0"/>
        <n v="3045.0"/>
        <n v="15059.0"/>
        <n v="3717.0"/>
        <n v="2400.0"/>
        <n v="1840.0"/>
        <n v="1107.0"/>
        <n v="1824.0"/>
        <n v="1799.0"/>
        <n v="5184.0"/>
        <n v="11885.0"/>
        <n v="374.0"/>
        <n v="1361.0"/>
        <n v="39245.0"/>
        <n v="1568.0"/>
        <n v="753.0"/>
        <n v="11628.0"/>
        <n v="2752.0"/>
        <n v="11837.0"/>
        <n v="9207.0"/>
        <n v="21240.0"/>
        <n v="47520.0"/>
        <n v="2047.0"/>
        <n v="1012.0"/>
        <n v="4320.0"/>
        <n v="1100.0"/>
        <n v="4584.0"/>
        <n v="940.0"/>
        <n v="1767.0"/>
        <n v="413.0"/>
        <n v="5450.0"/>
        <n v="9104.0"/>
        <n v="8886.0"/>
        <n v="6850.0"/>
        <n v="4565.0"/>
        <n v="5068.0"/>
        <n v="29801.0"/>
        <n v="29121.0"/>
        <n v="4131.0"/>
        <n v="1452.0"/>
        <n v="2870.0"/>
        <n v="4077.0"/>
        <n v="15894.0"/>
        <n v="3619.0"/>
        <n v="51867.0"/>
        <n v="2356.0"/>
        <n v="3888.0"/>
        <n v="1914.0"/>
        <n v="1927.0"/>
        <n v="20928.0"/>
        <n v="2597.0"/>
        <n v="773.0"/>
        <n v="3051.0"/>
        <n v="4824.0"/>
        <n v="3030.0"/>
        <n v="3168.0"/>
        <n v="4080.0"/>
        <n v="2579.0"/>
        <n v="2111.0"/>
        <n v="38400.0"/>
        <n v="9306.0"/>
        <n v="15495.0"/>
        <n v="108742.0"/>
        <n v="21974.0"/>
        <n v="30230.0"/>
        <n v="6353.0"/>
        <n v="67536.0"/>
        <n v="678.0"/>
        <n v="724.0"/>
        <n v="2702.0"/>
        <n v="365.0"/>
        <n v="13572.0"/>
        <n v="2869.0"/>
        <n v="3270.0"/>
        <n v="728.0"/>
        <n v="1818.0"/>
        <n v="11509.0"/>
        <n v="800.0"/>
        <n v="5788.0"/>
        <n v="19431.0"/>
        <n v="72013.0"/>
        <n v="28050.0"/>
        <n v="612.0"/>
        <n v="1118.0"/>
        <n v="1147.0"/>
        <n v="528.0"/>
        <n v="4446.0"/>
        <n v="4146.0"/>
        <n v="3483.0"/>
        <n v="12608.0"/>
        <n v="4550.0"/>
        <n v="10559.0"/>
        <n v="18624.0"/>
        <n v="1477.0"/>
        <n v="2418.0"/>
        <n v="11682.0"/>
        <n v="4944.0"/>
        <n v="1904.0"/>
        <n v="1680.0"/>
        <n v="8154.0"/>
        <n v="4441.0"/>
        <n v="17491.0"/>
        <n v="17008.0"/>
        <n v="21442.0"/>
        <n v="21659.0"/>
        <n v="22301.0"/>
        <n v="1432.0"/>
        <n v="3802.0"/>
        <n v="44982.0"/>
        <n v="13349.0"/>
        <n v="1812.0"/>
        <n v="9065.0"/>
        <n v="3881.0"/>
        <n v="10184.0"/>
        <n v="261.0"/>
        <n v="32846.0"/>
        <n v="21825.0"/>
        <n v="3512.0"/>
        <n v="4806.0"/>
        <n v="4949.0"/>
        <n v="28458.0"/>
        <n v="11563.0"/>
        <n v="4800.0"/>
        <n v="10921.0"/>
        <n v="5984.0"/>
        <n v="2908.0"/>
        <n v="3333.0"/>
        <n v="45292.0"/>
        <n v="6412.0"/>
        <n v="1742.0"/>
        <n v="336.0"/>
        <n v="5512.0"/>
        <n v="768.0"/>
        <n v="1317.0"/>
        <n v="16696.0"/>
        <n v="14791.0"/>
        <n v="2325.0"/>
        <n v="9525.0"/>
        <n v="2924.0"/>
        <n v="11209.0"/>
        <n v="8047.0"/>
        <n v="4163.0"/>
        <n v="1347.0"/>
        <n v="807.0"/>
        <n v="8960.0"/>
        <n v="8100.0"/>
        <n v="1383.0"/>
        <n v="3392.0"/>
        <n v="2387.0"/>
        <n v="1321.0"/>
        <n v="8390.0"/>
        <n v="12791.0"/>
        <n v="1604.0"/>
        <n v="56631.0"/>
        <n v="1356.0"/>
        <n v="813.0"/>
        <n v="75780.0"/>
        <n v="1849.0"/>
        <n v="10130.0"/>
        <n v="11361.0"/>
        <n v="1402.0"/>
        <n v="107.0"/>
        <n v="9909.0"/>
        <n v="17360.0"/>
        <n v="126495.0"/>
        <n v="6322.0"/>
        <n v="42658.0"/>
        <n v="3575.0"/>
        <n v="2114.0"/>
        <n v="3537.0"/>
        <n v="3504.0"/>
        <n v="54030.0"/>
        <n v="3047.0"/>
        <n v="26336.0"/>
        <n v="7042.0"/>
        <n v="1149.0"/>
        <n v="3248.0"/>
        <n v="1406.0"/>
        <n v="9056.0"/>
        <n v="265.0"/>
        <n v="2940.0"/>
        <n v="6420.0"/>
        <n v="11858.0"/>
        <n v="4200.0"/>
        <n v="6655.0"/>
        <n v="30898.0"/>
        <n v="68805.0"/>
        <n v="1870.0"/>
        <n v="14209.0"/>
        <n v="4641.0"/>
        <n v="3576.0"/>
        <n v="11310.0"/>
        <n v="2352.0"/>
        <n v="78020.0"/>
        <n v="9252.0"/>
        <n v="9866.0"/>
        <n v="8215.0"/>
        <n v="459.0"/>
        <n v="2160.0"/>
        <n v="1764.0"/>
        <n v="42109.0"/>
        <n v="10720.0"/>
        <n v="3427.0"/>
        <n v="1433.0"/>
        <n v="3920.0"/>
        <n v="19019.0"/>
        <n v="1416.0"/>
        <n v="6150.0"/>
        <n v="960.0"/>
        <n v="3558.0"/>
        <n v="6564.0"/>
        <n v="22963.0"/>
        <n v="1455.0"/>
        <n v="15195.0"/>
        <n v="13431.0"/>
        <n v="65169.0"/>
        <n v="10433.0"/>
        <n v="6885.0"/>
        <n v="7332.0"/>
        <n v="7378.0"/>
        <n v="14832.0"/>
        <n v="2232.0"/>
        <n v="1280.0"/>
        <n v="8140.0"/>
        <n v="16609.0"/>
        <n v="1673.0"/>
        <n v="7976.0"/>
        <n v="3321.0"/>
        <n v="15994.0"/>
        <n v="7440.0"/>
        <n v="3348.0"/>
        <n v="4520.0"/>
        <n v="3206.0"/>
        <n v="4782.0"/>
        <n v="1572.0"/>
        <n v="4879.0"/>
        <n v="6130.0"/>
        <n v="7971.0"/>
        <n v="736.0"/>
        <n v="1480.0"/>
        <n v="5593.0"/>
        <n v="1608.0"/>
        <n v="11772.0"/>
        <n v="4056.0"/>
        <n v="48144.0"/>
        <n v="21905.0"/>
        <n v="1814.0"/>
        <n v="17064.0"/>
        <n v="2198.0"/>
        <n v="2570.0"/>
        <n v="3853.0"/>
        <n v="4807.0"/>
        <n v="42430.0"/>
        <n v="462.0"/>
        <n v="2207.0"/>
        <n v="8670.0"/>
        <n v="13874.0"/>
        <n v="2688.0"/>
        <n v="5844.0"/>
        <n v="33769.0"/>
        <n v="1470.0"/>
        <n v="18402.0"/>
        <n v="5580.0"/>
        <n v="2850.0"/>
        <n v="7360.0"/>
        <n v="5574.0"/>
        <n v="2278.0"/>
        <n v="15490.0"/>
        <n v="6750.0"/>
        <n v="4451.0"/>
        <n v="5701.0"/>
        <n v="3060.0"/>
        <n v="4015.0"/>
        <n v="32908.0"/>
        <n v="8880.0"/>
        <n v="6760.0"/>
        <n v="2261.0"/>
        <n v="557.0"/>
        <n v="2287.0"/>
      </sharedItems>
    </cacheField>
    <cacheField name="Sales Rep" numFmtId="0">
      <sharedItems>
        <s v="Ananya Iyer"/>
        <s v="Pooja Reddy"/>
        <s v="Kavita Nair"/>
        <s v="Vikram Malhotra"/>
        <s v="Amit Singh"/>
        <s v="Priya Verma"/>
        <s v="Rohit Sharma"/>
        <s v="Deepak Yadav"/>
        <s v="Sanjay Rao"/>
        <s v="Neha Gupta"/>
      </sharedItems>
    </cacheField>
    <cacheField name="Payment Mode" numFmtId="0">
      <sharedItems>
        <s v="Cash"/>
        <s v="Credit Card"/>
        <s v="Net Banking"/>
        <s v="UPI"/>
        <s v="Debit Card"/>
      </sharedItems>
    </cacheField>
    <cacheField name="Customer Type" numFmtId="0">
      <sharedItems>
        <s v="Wholesale"/>
        <s v="Online"/>
        <s v="Retail"/>
      </sharedItems>
    </cacheField>
    <cacheField name=" " numFmtId="0">
      <sharedItems containsBlank="1">
        <s v="Please specify what question you would like answered or what task you need assistance with for the selected data."/>
        <m/>
      </sharedItems>
    </cacheField>
    <cacheField name=" 2" numFmtId="0">
      <sharedItems containsBlank="1">
        <m/>
        <s v="North"/>
        <s v="East"/>
        <s v="West"/>
        <s v="South"/>
        <s v="resion "/>
      </sharedItems>
    </cacheField>
    <cacheField name=" 3" numFmtId="0">
      <sharedItems containsBlank="1">
        <m/>
        <e v="#VALUE!"/>
        <s v="Groceries"/>
      </sharedItems>
    </cacheField>
    <cacheField name=" 4" numFmtId="0">
      <sharedItems containsBlank="1">
        <m/>
        <s v="Personal Care"/>
      </sharedItems>
    </cacheField>
    <cacheField name=" 5" numFmtId="0">
      <sharedItems containsBlank="1">
        <m/>
        <s v="Apparel"/>
      </sharedItems>
    </cacheField>
    <cacheField name=" 6" numFmtId="0">
      <sharedItems containsBlank="1">
        <m/>
        <s v="Electronics"/>
      </sharedItems>
    </cacheField>
    <cacheField name=" 7" numFmtId="0">
      <sharedItems containsBlank="1">
        <m/>
        <s v="Home &amp; Kitchen"/>
      </sharedItems>
    </cacheField>
    <cacheField name="order date2" databaseField="0">
      <fieldGroup base="1">
        <rangePr autoStart="0" autoEnd="0" groupBy="months" startDate="2025-01-01T00:00:00Z" endDate="2025-12-31T00:00:00Z"/>
        <groupItems>
          <s v="&lt;01/01/25"/>
          <s v="Jan"/>
          <s v="Feb"/>
          <s v="Mar"/>
          <s v="Apr"/>
          <s v="May"/>
          <s v="Jun"/>
          <s v="Jul"/>
          <s v="Aug"/>
          <s v="Sep"/>
          <s v="Oct"/>
          <s v="Nov"/>
          <s v="Dec"/>
          <s v="&gt;12/31/25"/>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16" cacheId="3" dataCaption="" compact="0" compactData="0">
  <location ref="A1:B14" firstHeaderRow="0" firstDataRow="1"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City" compact="0" outline="0" multipleItemSelectionAllowed="1" showAll="0">
      <items>
        <item x="0"/>
        <item x="1"/>
        <item x="2"/>
        <item x="3"/>
        <item x="4"/>
        <item x="5"/>
        <item x="6"/>
        <item x="7"/>
        <item x="8"/>
        <item x="9"/>
        <item x="10"/>
        <item x="11"/>
        <item x="12"/>
        <item x="13"/>
        <item x="14"/>
        <item x="15"/>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ty Sold" compact="0" outline="0" multipleItemSelectionAllowed="1" showAll="0">
      <items>
        <item x="0"/>
        <item x="1"/>
        <item x="2"/>
        <item x="3"/>
        <item x="4"/>
        <item x="5"/>
        <item x="6"/>
        <item x="7"/>
        <item x="8"/>
        <item x="9"/>
        <item x="10"/>
        <item x="11"/>
        <item x="12"/>
        <item x="13"/>
        <item x="14"/>
        <item t="default"/>
      </items>
    </pivotField>
    <pivotField name="Unit Price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t="default"/>
      </items>
    </pivotField>
    <pivotField name="Gross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name="Discount %" compact="0" outline="0" multipleItemSelectionAllowed="1" showAll="0">
      <items>
        <item x="0"/>
        <item x="1"/>
        <item x="2"/>
        <item x="3"/>
        <item x="4"/>
        <item t="default"/>
      </items>
    </pivotField>
    <pivotField name="Discount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Net Sales (R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Sales Rep" compact="0" outline="0" multipleItemSelectionAllowed="1" showAll="0">
      <items>
        <item x="0"/>
        <item x="1"/>
        <item x="2"/>
        <item x="3"/>
        <item x="4"/>
        <item x="5"/>
        <item x="6"/>
        <item x="7"/>
        <item x="8"/>
        <item x="9"/>
        <item t="default"/>
      </items>
    </pivotField>
    <pivotField name="Payment Mode" compact="0" outline="0" multipleItemSelectionAllowed="1" showAll="0">
      <items>
        <item x="0"/>
        <item x="1"/>
        <item x="2"/>
        <item x="3"/>
        <item x="4"/>
        <item t="default"/>
      </items>
    </pivotField>
    <pivotField name="Customer Type" compact="0" outline="0" multipleItemSelectionAllowed="1" showAll="0">
      <items>
        <item x="0"/>
        <item x="1"/>
        <item x="2"/>
        <item t="default"/>
      </items>
    </pivotField>
    <pivotField name=" " compact="0" outline="0" multipleItemSelectionAllowed="1" showAll="0">
      <items>
        <item x="0"/>
        <item x="1"/>
        <item t="default"/>
      </items>
    </pivotField>
    <pivotField name=" 2" compact="0" outline="0" multipleItemSelectionAllowed="1" showAll="0">
      <items>
        <item x="0"/>
        <item x="1"/>
        <item x="2"/>
        <item x="3"/>
        <item x="4"/>
        <item x="5"/>
        <item t="default"/>
      </items>
    </pivotField>
    <pivotField name=" 3" compact="0" outline="0" multipleItemSelectionAllowed="1" showAll="0">
      <items>
        <item x="0"/>
        <item x="1"/>
        <item x="2"/>
        <item t="default"/>
      </items>
    </pivotField>
    <pivotField name=" 4" compact="0" outline="0" multipleItemSelectionAllowed="1" showAll="0">
      <items>
        <item x="0"/>
        <item x="1"/>
        <item t="default"/>
      </items>
    </pivotField>
    <pivotField name=" 5" compact="0" outline="0" multipleItemSelectionAllowed="1" showAll="0">
      <items>
        <item x="0"/>
        <item x="1"/>
        <item t="default"/>
      </items>
    </pivotField>
    <pivotField name=" 6" compact="0" outline="0" multipleItemSelectionAllowed="1" showAll="0">
      <items>
        <item x="0"/>
        <item x="1"/>
        <item t="default"/>
      </items>
    </pivotField>
    <pivotField name=" 7" compact="0" outline="0" multipleItemSelectionAllowed="1" showAll="0">
      <items>
        <item x="0"/>
        <item x="1"/>
        <item t="default"/>
      </items>
    </pivotField>
    <pivotField name="order date2" axis="axisRow" compact="0" outline="0" multipleItemSelectionAllowed="1" showAll="0" sortType="ascending">
      <items>
        <item x="0"/>
        <item x="1"/>
        <item x="2"/>
        <item x="3"/>
        <item x="4"/>
        <item x="5"/>
        <item x="6"/>
        <item x="7"/>
        <item x="8"/>
        <item x="9"/>
        <item x="10"/>
        <item x="11"/>
        <item x="12"/>
        <item x="13"/>
        <item t="default"/>
      </items>
    </pivotField>
  </pivotFields>
  <rowFields>
    <field x="22"/>
  </rowFields>
  <dataFields>
    <dataField name="SUM of Net Sales (Rs)" fld="11" baseField="0"/>
  </dataFields>
</pivotTableDefinition>
</file>

<file path=xl/pivotTables/pivotTable2.xml><?xml version="1.0" encoding="utf-8"?>
<pivotTableDefinition xmlns="http://schemas.openxmlformats.org/spreadsheetml/2006/main" name="Pivot Table 15" cacheId="0" dataCaption="" compact="0" compactData="0">
  <location ref="A1:R7" firstHeaderRow="0" firstDataRow="1" firstDataCol="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City" axis="axisCol" compact="0" outline="0" multipleItemSelectionAllowed="1" showAll="0" sortType="ascending">
      <items>
        <item x="15"/>
        <item x="5"/>
        <item x="6"/>
        <item x="3"/>
        <item x="11"/>
        <item x="14"/>
        <item x="13"/>
        <item x="9"/>
        <item x="10"/>
        <item x="1"/>
        <item x="2"/>
        <item x="12"/>
        <item x="7"/>
        <item x="0"/>
        <item x="8"/>
        <item x="4"/>
        <item t="default"/>
      </items>
    </pivotField>
    <pivotField name="Region" axis="axisRow" compact="0" outline="0" multipleItemSelectionAllowed="1" showAll="0" sortType="ascending">
      <items>
        <item x="2"/>
        <item x="0"/>
        <item x="1"/>
        <item x="3"/>
        <item t="default"/>
      </items>
    </pivotField>
    <pivotField name="Category"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ty Sold" compact="0" outline="0" multipleItemSelectionAllowed="1" showAll="0">
      <items>
        <item x="0"/>
        <item x="1"/>
        <item x="2"/>
        <item x="3"/>
        <item x="4"/>
        <item x="5"/>
        <item x="6"/>
        <item x="7"/>
        <item x="8"/>
        <item x="9"/>
        <item x="10"/>
        <item x="11"/>
        <item x="12"/>
        <item x="13"/>
        <item x="14"/>
        <item t="default"/>
      </items>
    </pivotField>
    <pivotField name="Unit Price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t="default"/>
      </items>
    </pivotField>
    <pivotField name="Gross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name="Discount %" compact="0" outline="0" multipleItemSelectionAllowed="1" showAll="0">
      <items>
        <item x="0"/>
        <item x="1"/>
        <item x="2"/>
        <item x="3"/>
        <item x="4"/>
        <item t="default"/>
      </items>
    </pivotField>
    <pivotField name="Discount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Net Sales (R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Sales Rep" compact="0" outline="0" multipleItemSelectionAllowed="1" showAll="0">
      <items>
        <item x="0"/>
        <item x="1"/>
        <item x="2"/>
        <item x="3"/>
        <item x="4"/>
        <item x="5"/>
        <item x="6"/>
        <item x="7"/>
        <item x="8"/>
        <item x="9"/>
        <item t="default"/>
      </items>
    </pivotField>
    <pivotField name="Payment Mode" compact="0" outline="0" multipleItemSelectionAllowed="1" showAll="0">
      <items>
        <item x="0"/>
        <item x="1"/>
        <item x="2"/>
        <item x="3"/>
        <item x="4"/>
        <item t="default"/>
      </items>
    </pivotField>
    <pivotField name="Customer Type" compact="0" outline="0" multipleItemSelectionAllowed="1" showAll="0">
      <items>
        <item x="0"/>
        <item x="1"/>
        <item x="2"/>
        <item t="default"/>
      </items>
    </pivotField>
    <pivotField name=" " compact="0" outline="0" multipleItemSelectionAllowed="1" showAll="0">
      <items>
        <item x="0"/>
        <item x="1"/>
        <item t="default"/>
      </items>
    </pivotField>
    <pivotField name=" 2" compact="0" outline="0" multipleItemSelectionAllowed="1" showAll="0">
      <items>
        <item x="0"/>
        <item x="1"/>
        <item x="2"/>
        <item x="3"/>
        <item x="4"/>
        <item x="5"/>
        <item t="default"/>
      </items>
    </pivotField>
    <pivotField name=" 3" compact="0" outline="0" multipleItemSelectionAllowed="1" showAll="0">
      <items>
        <item x="0"/>
        <item x="1"/>
        <item x="2"/>
        <item t="default"/>
      </items>
    </pivotField>
    <pivotField name=" 4" compact="0" outline="0" multipleItemSelectionAllowed="1" showAll="0">
      <items>
        <item x="0"/>
        <item x="1"/>
        <item t="default"/>
      </items>
    </pivotField>
    <pivotField name=" 5" compact="0" outline="0" multipleItemSelectionAllowed="1" showAll="0">
      <items>
        <item x="0"/>
        <item x="1"/>
        <item t="default"/>
      </items>
    </pivotField>
    <pivotField name=" 6" compact="0" outline="0" multipleItemSelectionAllowed="1" showAll="0">
      <items>
        <item x="0"/>
        <item x="1"/>
        <item t="default"/>
      </items>
    </pivotField>
    <pivotField name=" 7" compact="0" outline="0" multipleItemSelectionAllowed="1" showAll="0">
      <items>
        <item x="0"/>
        <item x="1"/>
        <item t="default"/>
      </items>
    </pivotField>
  </pivotFields>
  <rowFields>
    <field x="3"/>
  </rowFields>
  <colFields>
    <field x="2"/>
  </colFields>
  <dataFields>
    <dataField name="SUM of Net Sales (Rs)" fld="11" baseField="0"/>
  </dataFields>
</pivotTableDefinition>
</file>

<file path=xl/pivotTables/pivotTable3.xml><?xml version="1.0" encoding="utf-8"?>
<pivotTableDefinition xmlns="http://schemas.openxmlformats.org/spreadsheetml/2006/main" name="Pivot Table 13" cacheId="1" dataCaption="" compact="0" compactData="0">
  <location ref="A1:E10" firstHeaderRow="0" firstDataRow="0"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City" compact="0" outline="0" multipleItemSelectionAllowed="1" showAll="0">
      <items>
        <item x="0"/>
        <item x="1"/>
        <item x="2"/>
        <item x="3"/>
        <item x="4"/>
        <item x="5"/>
        <item x="6"/>
        <item x="7"/>
        <item x="8"/>
        <item x="9"/>
        <item x="10"/>
        <item x="11"/>
        <item x="12"/>
        <item x="13"/>
        <item x="14"/>
        <item x="15"/>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ty Sold" compact="0" outline="0" multipleItemSelectionAllowed="1" showAll="0">
      <items>
        <item x="0"/>
        <item x="1"/>
        <item x="2"/>
        <item x="3"/>
        <item x="4"/>
        <item x="5"/>
        <item x="6"/>
        <item x="7"/>
        <item x="8"/>
        <item x="9"/>
        <item x="10"/>
        <item x="11"/>
        <item x="12"/>
        <item x="13"/>
        <item x="14"/>
        <item t="default"/>
      </items>
    </pivotField>
    <pivotField name="Unit Price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t="default"/>
      </items>
    </pivotField>
    <pivotField name="Gross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name="Discount %" compact="0" outline="0" multipleItemSelectionAllowed="1" showAll="0">
      <items>
        <item x="0"/>
        <item x="1"/>
        <item x="2"/>
        <item x="3"/>
        <item x="4"/>
        <item t="default"/>
      </items>
    </pivotField>
    <pivotField name="Discount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Net Sales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Sales Rep" compact="0" outline="0" multipleItemSelectionAllowed="1" showAll="0">
      <items>
        <item x="0"/>
        <item x="1"/>
        <item x="2"/>
        <item x="3"/>
        <item x="4"/>
        <item x="5"/>
        <item x="6"/>
        <item x="7"/>
        <item x="8"/>
        <item x="9"/>
        <item t="default"/>
      </items>
    </pivotField>
    <pivotField name="Payment Mode" compact="0" outline="0" multipleItemSelectionAllowed="1" showAll="0">
      <items>
        <item x="0"/>
        <item x="1"/>
        <item x="2"/>
        <item x="3"/>
        <item x="4"/>
        <item t="default"/>
      </items>
    </pivotField>
    <pivotField name="Customer Type" compact="0" outline="0" multipleItemSelectionAllowed="1" showAll="0">
      <items>
        <item x="0"/>
        <item x="1"/>
        <item x="2"/>
        <item t="default"/>
      </items>
    </pivotField>
  </pivotFields>
</pivotTableDefinition>
</file>

<file path=xl/pivotTables/pivotTable4.xml><?xml version="1.0" encoding="utf-8"?>
<pivotTableDefinition xmlns="http://schemas.openxmlformats.org/spreadsheetml/2006/main" name="Pivot Table 12" cacheId="2" dataCaption="" compact="0" compactData="0">
  <location ref="A1:C26" firstHeaderRow="0" firstDataRow="2"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City" compact="0" outline="0" multipleItemSelectionAllowed="1" showAll="0">
      <items>
        <item x="0"/>
        <item x="1"/>
        <item x="2"/>
        <item x="3"/>
        <item x="4"/>
        <item x="5"/>
        <item x="6"/>
        <item x="7"/>
        <item x="8"/>
        <item x="9"/>
        <item x="10"/>
        <item x="11"/>
        <item x="12"/>
        <item x="13"/>
        <item x="14"/>
        <item x="15"/>
        <item t="default"/>
      </items>
    </pivotField>
    <pivotField name="Region" axis="axisRow" compact="0" outline="0" multipleItemSelectionAllowed="1" showAll="0" sortType="ascending">
      <items>
        <item x="2"/>
        <item x="0"/>
        <item x="1"/>
        <item x="3"/>
        <item t="default"/>
      </items>
    </pivotField>
    <pivotField name="Category" axis="axisRow" compact="0" outline="0" multipleItemSelectionAllowed="1" showAll="0" sortType="ascending">
      <items>
        <item x="2"/>
        <item x="4"/>
        <item x="0"/>
        <item x="1"/>
        <item x="3"/>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ty Sold" compact="0" outline="0" multipleItemSelectionAllowed="1" showAll="0">
      <items>
        <item x="0"/>
        <item x="1"/>
        <item x="2"/>
        <item x="3"/>
        <item x="4"/>
        <item x="5"/>
        <item x="6"/>
        <item x="7"/>
        <item x="8"/>
        <item x="9"/>
        <item x="10"/>
        <item x="11"/>
        <item x="12"/>
        <item x="13"/>
        <item x="14"/>
        <item t="default"/>
      </items>
    </pivotField>
    <pivotField name="Unit Price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t="default"/>
      </items>
    </pivotField>
    <pivotField name="Gross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name="Discount %" compact="0" outline="0" multipleItemSelectionAllowed="1" showAll="0">
      <items>
        <item x="0"/>
        <item x="1"/>
        <item x="2"/>
        <item x="3"/>
        <item x="4"/>
        <item t="default"/>
      </items>
    </pivotField>
    <pivotField name="Discount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t="default"/>
      </items>
    </pivotField>
    <pivotField name="Net Sales (R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Sales Rep" compact="0" outline="0" multipleItemSelectionAllowed="1" showAll="0">
      <items>
        <item x="0"/>
        <item x="1"/>
        <item x="2"/>
        <item x="3"/>
        <item x="4"/>
        <item x="5"/>
        <item x="6"/>
        <item x="7"/>
        <item x="8"/>
        <item x="9"/>
        <item t="default"/>
      </items>
    </pivotField>
    <pivotField name="Payment Mode" compact="0" outline="0" multipleItemSelectionAllowed="1" showAll="0">
      <items>
        <item x="0"/>
        <item x="1"/>
        <item x="2"/>
        <item x="3"/>
        <item x="4"/>
        <item t="default"/>
      </items>
    </pivotField>
    <pivotField name="Customer Type" compact="0" outline="0" multipleItemSelectionAllowed="1" showAll="0">
      <items>
        <item x="0"/>
        <item x="1"/>
        <item x="2"/>
        <item t="default"/>
      </items>
    </pivotField>
  </pivotFields>
  <rowFields>
    <field x="3"/>
    <field x="4"/>
  </rowFields>
  <dataFields>
    <dataField name="SUM of Net Sales (Rs)" fld="11" baseField="0"/>
  </dataFields>
</pivotTableDefinition>
</file>

<file path=xl/pivotTables/pivotTable5.xml><?xml version="1.0" encoding="utf-8"?>
<pivotTableDefinition xmlns="http://schemas.openxmlformats.org/spreadsheetml/2006/main" name="Pivot Table 11" cacheId="1" dataCaption="" compact="0" compactData="0">
  <location ref="A1:E10" firstHeaderRow="0" firstDataRow="0" firstDataCol="0"/>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City" compact="0" outline="0" multipleItemSelectionAllowed="1" showAll="0">
      <items>
        <item x="0"/>
        <item x="1"/>
        <item x="2"/>
        <item x="3"/>
        <item x="4"/>
        <item x="5"/>
        <item x="6"/>
        <item x="7"/>
        <item x="8"/>
        <item x="9"/>
        <item x="10"/>
        <item x="11"/>
        <item x="12"/>
        <item x="13"/>
        <item x="14"/>
        <item x="15"/>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x="3"/>
        <item x="4"/>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ty Sold" compact="0" outline="0" multipleItemSelectionAllowed="1" showAll="0">
      <items>
        <item x="0"/>
        <item x="1"/>
        <item x="2"/>
        <item x="3"/>
        <item x="4"/>
        <item x="5"/>
        <item x="6"/>
        <item x="7"/>
        <item x="8"/>
        <item x="9"/>
        <item x="10"/>
        <item x="11"/>
        <item x="12"/>
        <item x="13"/>
        <item x="14"/>
        <item t="default"/>
      </items>
    </pivotField>
    <pivotField name="Unit Price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t="default"/>
      </items>
    </pivotField>
    <pivotField name="Gross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name="Discount %" compact="0" outline="0" multipleItemSelectionAllowed="1" showAll="0">
      <items>
        <item x="0"/>
        <item x="1"/>
        <item x="2"/>
        <item x="3"/>
        <item x="4"/>
        <item t="default"/>
      </items>
    </pivotField>
    <pivotField name="Discount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Net Sales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Sales Rep" compact="0" outline="0" multipleItemSelectionAllowed="1" showAll="0">
      <items>
        <item x="0"/>
        <item x="1"/>
        <item x="2"/>
        <item x="3"/>
        <item x="4"/>
        <item x="5"/>
        <item x="6"/>
        <item x="7"/>
        <item x="8"/>
        <item x="9"/>
        <item t="default"/>
      </items>
    </pivotField>
    <pivotField name="Payment Mode" compact="0" outline="0" multipleItemSelectionAllowed="1" showAll="0">
      <items>
        <item x="0"/>
        <item x="1"/>
        <item x="2"/>
        <item x="3"/>
        <item x="4"/>
        <item t="default"/>
      </items>
    </pivotField>
    <pivotField name="Customer Type" compact="0" outline="0" multipleItemSelectionAllowed="1" showAll="0">
      <items>
        <item x="0"/>
        <item x="1"/>
        <item x="2"/>
        <item t="default"/>
      </items>
    </pivotField>
  </pivotFields>
</pivotTableDefinition>
</file>

<file path=xl/pivotTables/pivotTable6.xml><?xml version="1.0" encoding="utf-8"?>
<pivotTableDefinition xmlns="http://schemas.openxmlformats.org/spreadsheetml/2006/main" name="Pivot Table 10" cacheId="1" dataCaption="" colGrandTotals="0" compact="0" compactData="0">
  <location ref="A1:F7" firstHeaderRow="0" firstDataRow="1" firstDataCol="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City" compact="0" outline="0" multipleItemSelectionAllowed="1" showAll="0">
      <items>
        <item x="0"/>
        <item x="1"/>
        <item x="2"/>
        <item x="3"/>
        <item x="4"/>
        <item x="5"/>
        <item x="6"/>
        <item x="7"/>
        <item x="8"/>
        <item x="9"/>
        <item x="10"/>
        <item x="11"/>
        <item x="12"/>
        <item x="13"/>
        <item x="14"/>
        <item x="15"/>
        <item t="default"/>
      </items>
    </pivotField>
    <pivotField name="Region"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Category" axis="axisCol" compact="0" outline="0" multipleItemSelectionAllowed="1" showAll="0" sortType="ascending">
      <items>
        <item x="2"/>
        <item x="4"/>
        <item x="0"/>
        <item x="1"/>
        <item x="3"/>
        <item t="default"/>
      </items>
    </pivotField>
    <pivotField name="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ty Sold" compact="0" outline="0" multipleItemSelectionAllowed="1" showAll="0">
      <items>
        <item x="0"/>
        <item x="1"/>
        <item x="2"/>
        <item x="3"/>
        <item x="4"/>
        <item x="5"/>
        <item x="6"/>
        <item x="7"/>
        <item x="8"/>
        <item x="9"/>
        <item x="10"/>
        <item x="11"/>
        <item x="12"/>
        <item x="13"/>
        <item x="14"/>
        <item t="default"/>
      </items>
    </pivotField>
    <pivotField name="Unit Price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t="default"/>
      </items>
    </pivotField>
    <pivotField name="Gross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name="Discount %" compact="0" outline="0" multipleItemSelectionAllowed="1" showAll="0">
      <items>
        <item x="0"/>
        <item x="1"/>
        <item x="2"/>
        <item x="3"/>
        <item x="4"/>
        <item t="default"/>
      </items>
    </pivotField>
    <pivotField name="Discount Amount (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ame="Net Sales (R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t="default"/>
      </items>
    </pivotField>
    <pivotField name="Sales Rep" compact="0" outline="0" multipleItemSelectionAllowed="1" showAll="0">
      <items>
        <item x="0"/>
        <item x="1"/>
        <item x="2"/>
        <item x="3"/>
        <item x="4"/>
        <item x="5"/>
        <item x="6"/>
        <item x="7"/>
        <item x="8"/>
        <item x="9"/>
        <item t="default"/>
      </items>
    </pivotField>
    <pivotField name="Payment Mode" compact="0" outline="0" multipleItemSelectionAllowed="1" showAll="0">
      <items>
        <item x="0"/>
        <item x="1"/>
        <item x="2"/>
        <item x="3"/>
        <item x="4"/>
        <item t="default"/>
      </items>
    </pivotField>
    <pivotField name="Customer Type" compact="0" outline="0" multipleItemSelectionAllowed="1" showAll="0">
      <items>
        <item x="0"/>
        <item x="1"/>
        <item x="2"/>
        <item t="default"/>
      </items>
    </pivotField>
  </pivotFields>
  <rowFields>
    <field x="3"/>
  </rowFields>
  <colFields>
    <field x="4"/>
  </colFields>
  <dataFields>
    <dataField name="SUM of Net Sales (Rs)" fld="1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2.0"/>
    <col customWidth="1" min="3" max="3" width="18.43"/>
    <col customWidth="1" min="4" max="4" width="11.71"/>
    <col customWidth="1" min="5" max="5" width="20.43"/>
    <col customWidth="1" min="6" max="6" width="20.0"/>
    <col customWidth="1" min="7" max="7" width="9.71"/>
    <col customWidth="1" min="8" max="8" width="15.57"/>
    <col customWidth="1" min="9" max="9" width="20.29"/>
    <col customWidth="1" min="10" max="10" width="12.57"/>
    <col customWidth="1" min="11" max="11" width="23.29"/>
    <col customWidth="1" min="12" max="12" width="15.29"/>
    <col customWidth="1" min="13" max="13" width="20.57"/>
    <col customWidth="1" min="14" max="14" width="17.14"/>
    <col customWidth="1" min="15" max="15" width="16.29"/>
    <col customWidth="1" min="16" max="16" width="8.71"/>
    <col customWidth="1" min="17" max="17" width="6.86"/>
    <col customWidth="1" min="18" max="18" width="9.29"/>
    <col customWidth="1" min="19" max="19" width="12.71"/>
    <col customWidth="1" min="20" max="20" width="7.71"/>
    <col customWidth="1" min="21" max="21" width="10.43"/>
    <col customWidth="1" min="22" max="22" width="15.0"/>
    <col customWidth="1" min="23" max="26" width="8.71"/>
  </cols>
  <sheetData>
    <row r="1" ht="14.25" customHeight="1">
      <c r="A1" s="1" t="s">
        <v>0</v>
      </c>
      <c r="B1" s="3" t="s">
        <v>2</v>
      </c>
      <c r="C1" s="4" t="s">
        <v>3</v>
      </c>
      <c r="D1" s="4" t="s">
        <v>5</v>
      </c>
      <c r="E1" s="4" t="s">
        <v>6</v>
      </c>
      <c r="F1" s="4" t="s">
        <v>7</v>
      </c>
      <c r="G1" s="4" t="s">
        <v>8</v>
      </c>
      <c r="H1" s="4" t="s">
        <v>9</v>
      </c>
      <c r="I1" s="4" t="s">
        <v>10</v>
      </c>
      <c r="J1" s="4" t="s">
        <v>11</v>
      </c>
      <c r="K1" s="4" t="s">
        <v>12</v>
      </c>
      <c r="L1" s="4" t="s">
        <v>14</v>
      </c>
      <c r="M1" s="4" t="s">
        <v>15</v>
      </c>
      <c r="N1" s="4" t="s">
        <v>16</v>
      </c>
      <c r="O1" s="4" t="s">
        <v>18</v>
      </c>
      <c r="P1" s="7" t="s">
        <v>20</v>
      </c>
      <c r="Q1" s="7" t="s">
        <v>20</v>
      </c>
      <c r="R1" s="7" t="s">
        <v>20</v>
      </c>
      <c r="S1" s="7" t="s">
        <v>20</v>
      </c>
      <c r="T1" s="7" t="s">
        <v>20</v>
      </c>
      <c r="U1" s="7" t="s">
        <v>20</v>
      </c>
      <c r="V1" s="7" t="s">
        <v>20</v>
      </c>
    </row>
    <row r="2" ht="14.25" customHeight="1">
      <c r="A2" s="10">
        <v>20121.0</v>
      </c>
      <c r="B2" s="11">
        <v>45658.0</v>
      </c>
      <c r="C2" s="3" t="s">
        <v>24</v>
      </c>
      <c r="D2" s="3" t="s">
        <v>25</v>
      </c>
      <c r="E2" s="3" t="s">
        <v>26</v>
      </c>
      <c r="F2" s="4" t="s">
        <v>27</v>
      </c>
      <c r="G2" s="4">
        <v>6.0</v>
      </c>
      <c r="H2" s="13">
        <v>1138.0</v>
      </c>
      <c r="I2" s="13">
        <f>H2*G2</f>
        <v>6828</v>
      </c>
      <c r="J2" s="4">
        <v>20.0</v>
      </c>
      <c r="K2" s="13">
        <f t="shared" ref="K2:K4" si="1">I2*20%</f>
        <v>1365.6</v>
      </c>
      <c r="L2" s="13">
        <v>5462.0</v>
      </c>
      <c r="M2" s="4" t="s">
        <v>42</v>
      </c>
      <c r="N2" s="4" t="s">
        <v>43</v>
      </c>
      <c r="O2" s="4" t="s">
        <v>44</v>
      </c>
      <c r="P2" s="7" t="str">
        <f>IFERROR(__xludf.DUMMYFUNCTION("AI("""")"),"Please specify what question you would like answered or what task you need assistance with for the selected data.")</f>
        <v>Please specify what question you would like answered or what task you need assistance with for the selected data.</v>
      </c>
      <c r="Q2" s="7"/>
      <c r="R2" s="7"/>
      <c r="S2" s="7"/>
      <c r="T2" s="7"/>
      <c r="U2" s="7"/>
      <c r="V2" s="7"/>
    </row>
    <row r="3" ht="14.25" customHeight="1">
      <c r="A3" s="10">
        <v>20122.0</v>
      </c>
      <c r="B3" s="11">
        <v>45661.0</v>
      </c>
      <c r="C3" s="4" t="s">
        <v>45</v>
      </c>
      <c r="D3" s="4" t="s">
        <v>46</v>
      </c>
      <c r="E3" s="3" t="s">
        <v>47</v>
      </c>
      <c r="F3" s="4" t="s">
        <v>48</v>
      </c>
      <c r="G3" s="4">
        <v>14.0</v>
      </c>
      <c r="H3" s="13">
        <v>1829.0</v>
      </c>
      <c r="I3" s="13">
        <v>25606.0</v>
      </c>
      <c r="J3" s="4">
        <v>20.0</v>
      </c>
      <c r="K3" s="13">
        <f t="shared" si="1"/>
        <v>5121.2</v>
      </c>
      <c r="L3" s="13">
        <v>20485.0</v>
      </c>
      <c r="M3" s="4" t="s">
        <v>49</v>
      </c>
      <c r="N3" s="4" t="s">
        <v>50</v>
      </c>
      <c r="O3" s="4" t="s">
        <v>44</v>
      </c>
      <c r="P3" s="7"/>
      <c r="Q3" s="7"/>
      <c r="R3" s="7"/>
      <c r="S3" s="7"/>
      <c r="T3" s="7"/>
      <c r="U3" s="7"/>
      <c r="V3" s="7"/>
    </row>
    <row r="4" ht="14.25" customHeight="1">
      <c r="A4" s="10">
        <v>20123.0</v>
      </c>
      <c r="B4" s="11">
        <v>45661.0</v>
      </c>
      <c r="C4" s="4" t="s">
        <v>51</v>
      </c>
      <c r="D4" s="4" t="s">
        <v>52</v>
      </c>
      <c r="E4" s="4" t="s">
        <v>53</v>
      </c>
      <c r="F4" s="4" t="s">
        <v>54</v>
      </c>
      <c r="G4" s="4">
        <v>7.0</v>
      </c>
      <c r="H4" s="13">
        <v>984.0</v>
      </c>
      <c r="I4" s="13">
        <v>6888.0</v>
      </c>
      <c r="J4" s="4">
        <v>0.0</v>
      </c>
      <c r="K4" s="13">
        <f t="shared" si="1"/>
        <v>1377.6</v>
      </c>
      <c r="L4" s="13">
        <v>6888.0</v>
      </c>
      <c r="M4" s="4" t="s">
        <v>55</v>
      </c>
      <c r="N4" s="4" t="s">
        <v>56</v>
      </c>
      <c r="O4" s="4" t="s">
        <v>57</v>
      </c>
      <c r="P4" s="7"/>
      <c r="Q4" s="7"/>
      <c r="R4" s="7"/>
      <c r="S4" s="7"/>
      <c r="T4" s="7"/>
      <c r="U4" s="7"/>
      <c r="V4" s="7"/>
    </row>
    <row r="5" ht="14.25" customHeight="1">
      <c r="A5" s="10">
        <v>20124.0</v>
      </c>
      <c r="B5" s="11">
        <v>45662.0</v>
      </c>
      <c r="C5" s="4" t="s">
        <v>58</v>
      </c>
      <c r="D5" s="4" t="s">
        <v>25</v>
      </c>
      <c r="E5" s="4" t="s">
        <v>59</v>
      </c>
      <c r="F5" s="4" t="s">
        <v>60</v>
      </c>
      <c r="G5" s="4">
        <v>15.0</v>
      </c>
      <c r="H5" s="13">
        <v>266.0</v>
      </c>
      <c r="I5" s="13">
        <v>3990.0</v>
      </c>
      <c r="J5" s="4">
        <v>0.0</v>
      </c>
      <c r="K5" s="13">
        <v>0.0</v>
      </c>
      <c r="L5" s="13">
        <v>3990.0</v>
      </c>
      <c r="M5" s="4" t="s">
        <v>61</v>
      </c>
      <c r="N5" s="4" t="s">
        <v>62</v>
      </c>
      <c r="O5" s="4" t="s">
        <v>57</v>
      </c>
      <c r="P5" s="7"/>
      <c r="Q5" s="7"/>
      <c r="R5" s="7"/>
      <c r="S5" s="7"/>
      <c r="T5" s="7"/>
      <c r="U5" s="7"/>
      <c r="V5" s="7"/>
    </row>
    <row r="6" ht="14.25" customHeight="1">
      <c r="A6" s="10">
        <v>20125.0</v>
      </c>
      <c r="B6" s="11">
        <v>45663.0</v>
      </c>
      <c r="C6" s="4" t="s">
        <v>63</v>
      </c>
      <c r="D6" s="4" t="s">
        <v>64</v>
      </c>
      <c r="E6" s="4" t="s">
        <v>47</v>
      </c>
      <c r="F6" s="4" t="s">
        <v>65</v>
      </c>
      <c r="G6" s="4">
        <v>13.0</v>
      </c>
      <c r="H6" s="13">
        <v>932.0</v>
      </c>
      <c r="I6" s="13">
        <v>12116.0</v>
      </c>
      <c r="J6" s="4">
        <v>10.0</v>
      </c>
      <c r="K6" s="13">
        <v>1212.0</v>
      </c>
      <c r="L6" s="13">
        <v>10904.0</v>
      </c>
      <c r="M6" s="4" t="s">
        <v>49</v>
      </c>
      <c r="N6" s="4" t="s">
        <v>50</v>
      </c>
      <c r="O6" s="4" t="s">
        <v>57</v>
      </c>
      <c r="P6" s="7"/>
      <c r="Q6" s="7"/>
      <c r="R6" s="7"/>
      <c r="S6" s="7"/>
      <c r="T6" s="7"/>
      <c r="U6" s="7"/>
      <c r="V6" s="7"/>
    </row>
    <row r="7" ht="14.25" customHeight="1">
      <c r="A7" s="10">
        <v>20126.0</v>
      </c>
      <c r="B7" s="11">
        <v>45666.0</v>
      </c>
      <c r="C7" s="4" t="s">
        <v>66</v>
      </c>
      <c r="D7" s="4" t="s">
        <v>46</v>
      </c>
      <c r="E7" s="4" t="s">
        <v>47</v>
      </c>
      <c r="F7" s="4" t="s">
        <v>67</v>
      </c>
      <c r="G7" s="4">
        <v>1.0</v>
      </c>
      <c r="H7" s="13">
        <v>1962.0</v>
      </c>
      <c r="I7" s="13">
        <v>1962.0</v>
      </c>
      <c r="J7" s="4">
        <v>20.0</v>
      </c>
      <c r="K7" s="13">
        <v>392.0</v>
      </c>
      <c r="L7" s="13">
        <v>1570.0</v>
      </c>
      <c r="M7" s="4" t="s">
        <v>68</v>
      </c>
      <c r="N7" s="4" t="s">
        <v>62</v>
      </c>
      <c r="O7" s="4" t="s">
        <v>69</v>
      </c>
      <c r="P7" s="7"/>
      <c r="Q7" s="7"/>
      <c r="R7" s="7"/>
      <c r="S7" s="7"/>
      <c r="T7" s="7"/>
      <c r="U7" s="7"/>
      <c r="V7" s="7"/>
    </row>
    <row r="8" ht="14.25" customHeight="1">
      <c r="A8" s="10">
        <v>20127.0</v>
      </c>
      <c r="B8" s="11">
        <v>45666.0</v>
      </c>
      <c r="C8" s="4" t="s">
        <v>51</v>
      </c>
      <c r="D8" s="4" t="s">
        <v>52</v>
      </c>
      <c r="E8" s="4" t="s">
        <v>26</v>
      </c>
      <c r="F8" s="4" t="s">
        <v>70</v>
      </c>
      <c r="G8" s="4">
        <v>1.0</v>
      </c>
      <c r="H8" s="13">
        <v>184.0</v>
      </c>
      <c r="I8" s="13">
        <v>184.0</v>
      </c>
      <c r="J8" s="4">
        <v>15.0</v>
      </c>
      <c r="K8" s="13">
        <v>28.0</v>
      </c>
      <c r="L8" s="13">
        <v>156.0</v>
      </c>
      <c r="M8" s="4" t="s">
        <v>71</v>
      </c>
      <c r="N8" s="4" t="s">
        <v>72</v>
      </c>
      <c r="O8" s="4" t="s">
        <v>57</v>
      </c>
      <c r="P8" s="7"/>
      <c r="Q8" s="7"/>
      <c r="R8" s="7"/>
      <c r="S8" s="7"/>
      <c r="T8" s="7"/>
      <c r="U8" s="7"/>
      <c r="V8" s="7"/>
    </row>
    <row r="9" ht="14.25" customHeight="1">
      <c r="A9" s="10">
        <v>20128.0</v>
      </c>
      <c r="B9" s="11">
        <v>45667.0</v>
      </c>
      <c r="C9" s="4" t="s">
        <v>73</v>
      </c>
      <c r="D9" s="4" t="s">
        <v>52</v>
      </c>
      <c r="E9" s="4" t="s">
        <v>26</v>
      </c>
      <c r="F9" s="4" t="s">
        <v>74</v>
      </c>
      <c r="G9" s="4">
        <v>10.0</v>
      </c>
      <c r="H9" s="13">
        <v>559.0</v>
      </c>
      <c r="I9" s="13">
        <v>5590.0</v>
      </c>
      <c r="J9" s="4">
        <v>0.0</v>
      </c>
      <c r="K9" s="13">
        <v>0.0</v>
      </c>
      <c r="L9" s="13">
        <v>5590.0</v>
      </c>
      <c r="M9" s="4" t="s">
        <v>71</v>
      </c>
      <c r="N9" s="4" t="s">
        <v>43</v>
      </c>
      <c r="O9" s="4" t="s">
        <v>69</v>
      </c>
      <c r="P9" s="7"/>
      <c r="Q9" s="7"/>
      <c r="R9" s="7"/>
      <c r="S9" s="7"/>
      <c r="T9" s="7"/>
      <c r="U9" s="7"/>
      <c r="V9" s="7"/>
    </row>
    <row r="10" ht="14.25" customHeight="1">
      <c r="A10" s="4">
        <v>20129.0</v>
      </c>
      <c r="B10" s="11">
        <v>45667.0</v>
      </c>
      <c r="C10" s="4" t="s">
        <v>45</v>
      </c>
      <c r="D10" s="4" t="s">
        <v>46</v>
      </c>
      <c r="E10" s="4" t="s">
        <v>53</v>
      </c>
      <c r="F10" s="4" t="s">
        <v>75</v>
      </c>
      <c r="G10" s="4">
        <v>4.0</v>
      </c>
      <c r="H10" s="13">
        <v>1294.0</v>
      </c>
      <c r="I10" s="13">
        <v>5176.0</v>
      </c>
      <c r="J10" s="4">
        <v>0.0</v>
      </c>
      <c r="K10" s="13">
        <v>0.0</v>
      </c>
      <c r="L10" s="13">
        <v>5176.0</v>
      </c>
      <c r="M10" s="4" t="s">
        <v>68</v>
      </c>
      <c r="N10" s="4" t="s">
        <v>62</v>
      </c>
      <c r="O10" s="4" t="s">
        <v>44</v>
      </c>
      <c r="P10" s="7"/>
      <c r="Q10" s="7"/>
      <c r="R10" s="7"/>
      <c r="S10" s="7"/>
      <c r="T10" s="7"/>
      <c r="U10" s="7"/>
      <c r="V10" s="7"/>
    </row>
    <row r="11" ht="14.25" customHeight="1">
      <c r="A11" s="4">
        <v>20053.0</v>
      </c>
      <c r="B11" s="11">
        <v>45668.0</v>
      </c>
      <c r="C11" s="4" t="s">
        <v>76</v>
      </c>
      <c r="D11" s="4" t="s">
        <v>64</v>
      </c>
      <c r="E11" s="4" t="s">
        <v>77</v>
      </c>
      <c r="F11" s="4" t="s">
        <v>78</v>
      </c>
      <c r="G11" s="4">
        <v>8.0</v>
      </c>
      <c r="H11" s="13">
        <v>5520.0</v>
      </c>
      <c r="I11" s="13">
        <v>44160.0</v>
      </c>
      <c r="J11" s="4">
        <v>20.0</v>
      </c>
      <c r="K11" s="13">
        <v>8832.0</v>
      </c>
      <c r="L11" s="13">
        <v>35328.0</v>
      </c>
      <c r="M11" s="4" t="s">
        <v>55</v>
      </c>
      <c r="N11" s="4" t="s">
        <v>50</v>
      </c>
      <c r="O11" s="4" t="s">
        <v>57</v>
      </c>
      <c r="P11" s="7"/>
      <c r="Q11" s="7"/>
      <c r="R11" s="7"/>
      <c r="S11" s="7"/>
      <c r="T11" s="7"/>
      <c r="U11" s="7"/>
      <c r="V11" s="7"/>
    </row>
    <row r="12" ht="14.25" customHeight="1">
      <c r="A12" s="4">
        <v>20140.0</v>
      </c>
      <c r="B12" s="11">
        <v>45668.0</v>
      </c>
      <c r="C12" s="4" t="s">
        <v>51</v>
      </c>
      <c r="D12" s="4" t="s">
        <v>52</v>
      </c>
      <c r="E12" s="4" t="s">
        <v>59</v>
      </c>
      <c r="F12" s="4" t="s">
        <v>79</v>
      </c>
      <c r="G12" s="4">
        <v>11.0</v>
      </c>
      <c r="H12" s="13">
        <v>442.0</v>
      </c>
      <c r="I12" s="13">
        <v>4862.0</v>
      </c>
      <c r="J12" s="4">
        <v>0.0</v>
      </c>
      <c r="K12" s="13">
        <v>0.0</v>
      </c>
      <c r="L12" s="13">
        <v>4862.0</v>
      </c>
      <c r="M12" s="4" t="s">
        <v>71</v>
      </c>
      <c r="N12" s="4" t="s">
        <v>72</v>
      </c>
      <c r="O12" s="4" t="s">
        <v>69</v>
      </c>
      <c r="P12" s="7"/>
      <c r="Q12" s="7"/>
      <c r="R12" s="7"/>
      <c r="S12" s="7"/>
      <c r="T12" s="7"/>
      <c r="U12" s="7"/>
      <c r="V12" s="7"/>
    </row>
    <row r="13" ht="14.25" customHeight="1">
      <c r="A13" s="4">
        <v>20287.0</v>
      </c>
      <c r="B13" s="11">
        <v>45669.0</v>
      </c>
      <c r="C13" s="4" t="s">
        <v>76</v>
      </c>
      <c r="D13" s="4" t="s">
        <v>64</v>
      </c>
      <c r="E13" s="4" t="s">
        <v>47</v>
      </c>
      <c r="F13" s="4" t="s">
        <v>65</v>
      </c>
      <c r="G13" s="4">
        <v>13.0</v>
      </c>
      <c r="H13" s="13">
        <v>496.0</v>
      </c>
      <c r="I13" s="13">
        <v>6448.0</v>
      </c>
      <c r="J13" s="3">
        <v>0.0</v>
      </c>
      <c r="K13" s="13">
        <v>0.0</v>
      </c>
      <c r="L13" s="13">
        <v>6448.0</v>
      </c>
      <c r="M13" s="4" t="s">
        <v>61</v>
      </c>
      <c r="N13" s="4" t="s">
        <v>56</v>
      </c>
      <c r="O13" s="4" t="s">
        <v>69</v>
      </c>
      <c r="P13" s="7"/>
      <c r="Q13" s="7"/>
      <c r="R13" s="7"/>
      <c r="S13" s="7"/>
      <c r="T13" s="7"/>
      <c r="U13" s="7"/>
      <c r="V13" s="7"/>
    </row>
    <row r="14" ht="14.25" customHeight="1">
      <c r="A14" s="4">
        <v>20328.0</v>
      </c>
      <c r="B14" s="11">
        <v>45669.0</v>
      </c>
      <c r="C14" s="4" t="s">
        <v>80</v>
      </c>
      <c r="D14" s="4" t="s">
        <v>64</v>
      </c>
      <c r="E14" s="4" t="s">
        <v>26</v>
      </c>
      <c r="F14" s="4" t="s">
        <v>74</v>
      </c>
      <c r="G14" s="4">
        <v>12.0</v>
      </c>
      <c r="H14" s="13">
        <v>158.0</v>
      </c>
      <c r="I14" s="13">
        <v>1896.0</v>
      </c>
      <c r="J14" s="4">
        <v>10.0</v>
      </c>
      <c r="K14" s="13">
        <v>190.0</v>
      </c>
      <c r="L14" s="13">
        <v>1706.0</v>
      </c>
      <c r="M14" s="4" t="s">
        <v>81</v>
      </c>
      <c r="N14" s="4" t="s">
        <v>56</v>
      </c>
      <c r="O14" s="4" t="s">
        <v>69</v>
      </c>
      <c r="P14" s="7"/>
      <c r="Q14" s="7"/>
      <c r="R14" s="7"/>
      <c r="S14" s="7"/>
      <c r="T14" s="7"/>
      <c r="U14" s="7"/>
      <c r="V14" s="7"/>
    </row>
    <row r="15" ht="14.25" customHeight="1">
      <c r="A15" s="4">
        <v>20033.0</v>
      </c>
      <c r="B15" s="11">
        <v>45670.0</v>
      </c>
      <c r="C15" s="4" t="s">
        <v>80</v>
      </c>
      <c r="D15" s="4" t="s">
        <v>64</v>
      </c>
      <c r="E15" s="4" t="s">
        <v>53</v>
      </c>
      <c r="F15" s="4" t="s">
        <v>48</v>
      </c>
      <c r="G15" s="4">
        <v>13.0</v>
      </c>
      <c r="H15" s="13">
        <v>625.0</v>
      </c>
      <c r="I15" s="13">
        <v>8125.0</v>
      </c>
      <c r="J15" s="4">
        <v>5.0</v>
      </c>
      <c r="K15" s="13">
        <v>406.0</v>
      </c>
      <c r="L15" s="13">
        <v>7719.0</v>
      </c>
      <c r="M15" s="4" t="s">
        <v>81</v>
      </c>
      <c r="N15" s="4" t="s">
        <v>43</v>
      </c>
      <c r="O15" s="4" t="s">
        <v>69</v>
      </c>
      <c r="P15" s="7"/>
      <c r="Q15" s="7"/>
      <c r="R15" s="7"/>
      <c r="S15" s="7"/>
      <c r="T15" s="7"/>
      <c r="U15" s="7"/>
      <c r="V15" s="7"/>
    </row>
    <row r="16" ht="14.25" customHeight="1">
      <c r="A16" s="4">
        <v>20403.0</v>
      </c>
      <c r="B16" s="11">
        <v>45672.0</v>
      </c>
      <c r="C16" s="4" t="s">
        <v>82</v>
      </c>
      <c r="D16" s="4" t="s">
        <v>52</v>
      </c>
      <c r="E16" s="4" t="s">
        <v>26</v>
      </c>
      <c r="F16" s="4" t="s">
        <v>74</v>
      </c>
      <c r="G16" s="4">
        <v>2.0</v>
      </c>
      <c r="H16" s="13">
        <v>511.0</v>
      </c>
      <c r="I16" s="13">
        <v>1022.0</v>
      </c>
      <c r="J16" s="4">
        <v>20.0</v>
      </c>
      <c r="K16" s="13">
        <v>204.0</v>
      </c>
      <c r="L16" s="13">
        <v>818.0</v>
      </c>
      <c r="M16" s="4" t="s">
        <v>55</v>
      </c>
      <c r="N16" s="4" t="s">
        <v>43</v>
      </c>
      <c r="O16" s="4" t="s">
        <v>44</v>
      </c>
      <c r="P16" s="7"/>
      <c r="Q16" s="7"/>
      <c r="R16" s="7"/>
      <c r="S16" s="7"/>
      <c r="T16" s="7"/>
      <c r="U16" s="7"/>
      <c r="V16" s="7"/>
    </row>
    <row r="17" ht="14.25" customHeight="1">
      <c r="A17" s="4">
        <v>20276.0</v>
      </c>
      <c r="B17" s="11">
        <v>45673.0</v>
      </c>
      <c r="C17" s="4" t="s">
        <v>51</v>
      </c>
      <c r="D17" s="4" t="s">
        <v>52</v>
      </c>
      <c r="E17" s="4" t="s">
        <v>59</v>
      </c>
      <c r="F17" s="4" t="s">
        <v>83</v>
      </c>
      <c r="G17" s="4">
        <v>12.0</v>
      </c>
      <c r="H17" s="13">
        <v>112.0</v>
      </c>
      <c r="I17" s="13">
        <v>1344.0</v>
      </c>
      <c r="J17" s="4">
        <v>0.0</v>
      </c>
      <c r="K17" s="13">
        <v>0.0</v>
      </c>
      <c r="L17" s="13">
        <v>1344.0</v>
      </c>
      <c r="M17" s="4" t="s">
        <v>81</v>
      </c>
      <c r="N17" s="4" t="s">
        <v>62</v>
      </c>
      <c r="O17" s="4" t="s">
        <v>69</v>
      </c>
      <c r="P17" s="7"/>
      <c r="Q17" s="7"/>
      <c r="R17" s="7"/>
      <c r="S17" s="7"/>
      <c r="T17" s="7"/>
      <c r="U17" s="7"/>
      <c r="V17" s="7"/>
    </row>
    <row r="18" ht="14.25" customHeight="1">
      <c r="A18" s="4">
        <v>20008.0</v>
      </c>
      <c r="B18" s="11">
        <v>45674.0</v>
      </c>
      <c r="C18" s="4" t="s">
        <v>84</v>
      </c>
      <c r="D18" s="4" t="s">
        <v>46</v>
      </c>
      <c r="E18" s="4" t="s">
        <v>59</v>
      </c>
      <c r="F18" s="4" t="s">
        <v>85</v>
      </c>
      <c r="G18" s="4">
        <v>2.0</v>
      </c>
      <c r="H18" s="13">
        <v>427.0</v>
      </c>
      <c r="I18" s="13">
        <v>854.0</v>
      </c>
      <c r="J18" s="4">
        <v>0.0</v>
      </c>
      <c r="K18" s="13">
        <v>0.0</v>
      </c>
      <c r="L18" s="13">
        <v>854.0</v>
      </c>
      <c r="M18" s="4" t="s">
        <v>42</v>
      </c>
      <c r="N18" s="4" t="s">
        <v>43</v>
      </c>
      <c r="O18" s="4" t="s">
        <v>57</v>
      </c>
      <c r="P18" s="7"/>
      <c r="Q18" s="7"/>
      <c r="R18" s="7"/>
      <c r="S18" s="7"/>
      <c r="T18" s="7"/>
      <c r="U18" s="7"/>
      <c r="V18" s="7"/>
    </row>
    <row r="19" ht="14.25" customHeight="1">
      <c r="A19" s="4">
        <v>20290.0</v>
      </c>
      <c r="B19" s="11">
        <v>45674.0</v>
      </c>
      <c r="C19" s="4" t="s">
        <v>80</v>
      </c>
      <c r="D19" s="4" t="s">
        <v>64</v>
      </c>
      <c r="E19" s="4" t="s">
        <v>47</v>
      </c>
      <c r="F19" s="4" t="s">
        <v>67</v>
      </c>
      <c r="G19" s="4">
        <v>15.0</v>
      </c>
      <c r="H19" s="13">
        <v>2231.0</v>
      </c>
      <c r="I19" s="13">
        <v>33465.0</v>
      </c>
      <c r="J19" s="4">
        <v>0.0</v>
      </c>
      <c r="K19" s="13">
        <v>0.0</v>
      </c>
      <c r="L19" s="13">
        <v>33465.0</v>
      </c>
      <c r="M19" s="4" t="s">
        <v>55</v>
      </c>
      <c r="N19" s="4" t="s">
        <v>62</v>
      </c>
      <c r="O19" s="4" t="s">
        <v>69</v>
      </c>
      <c r="P19" s="7"/>
      <c r="Q19" s="7"/>
      <c r="R19" s="7"/>
      <c r="S19" s="7"/>
      <c r="T19" s="7"/>
      <c r="U19" s="7"/>
      <c r="V19" s="7"/>
    </row>
    <row r="20" ht="14.25" customHeight="1">
      <c r="A20" s="4">
        <v>20240.0</v>
      </c>
      <c r="B20" s="11">
        <v>45679.0</v>
      </c>
      <c r="C20" s="4" t="s">
        <v>73</v>
      </c>
      <c r="D20" s="4" t="s">
        <v>52</v>
      </c>
      <c r="E20" s="4" t="s">
        <v>47</v>
      </c>
      <c r="F20" s="4" t="s">
        <v>65</v>
      </c>
      <c r="G20" s="4">
        <v>7.0</v>
      </c>
      <c r="H20" s="13">
        <v>1212.0</v>
      </c>
      <c r="I20" s="13">
        <v>8484.0</v>
      </c>
      <c r="J20" s="4">
        <v>0.0</v>
      </c>
      <c r="K20" s="13">
        <v>0.0</v>
      </c>
      <c r="L20" s="13">
        <v>8484.0</v>
      </c>
      <c r="M20" s="4" t="s">
        <v>81</v>
      </c>
      <c r="N20" s="4" t="s">
        <v>43</v>
      </c>
      <c r="O20" s="4" t="s">
        <v>44</v>
      </c>
      <c r="P20" s="7"/>
      <c r="Q20" s="7"/>
      <c r="R20" s="7"/>
      <c r="S20" s="7"/>
      <c r="T20" s="7"/>
      <c r="U20" s="7"/>
      <c r="V20" s="7"/>
    </row>
    <row r="21" ht="14.25" customHeight="1">
      <c r="A21" s="4">
        <v>20037.0</v>
      </c>
      <c r="B21" s="11">
        <v>45680.0</v>
      </c>
      <c r="C21" s="4" t="s">
        <v>24</v>
      </c>
      <c r="D21" s="4" t="s">
        <v>52</v>
      </c>
      <c r="E21" s="4" t="s">
        <v>26</v>
      </c>
      <c r="F21" s="4" t="s">
        <v>70</v>
      </c>
      <c r="G21" s="4">
        <v>15.0</v>
      </c>
      <c r="H21" s="13">
        <v>321.0</v>
      </c>
      <c r="I21" s="13">
        <v>4815.0</v>
      </c>
      <c r="J21" s="4">
        <v>10.0</v>
      </c>
      <c r="K21" s="13">
        <v>482.0</v>
      </c>
      <c r="L21" s="13">
        <v>4333.0</v>
      </c>
      <c r="M21" s="4" t="s">
        <v>55</v>
      </c>
      <c r="N21" s="4" t="s">
        <v>62</v>
      </c>
      <c r="O21" s="4" t="s">
        <v>57</v>
      </c>
      <c r="P21" s="7"/>
      <c r="Q21" s="7"/>
      <c r="R21" s="7"/>
      <c r="S21" s="7"/>
      <c r="T21" s="7"/>
      <c r="U21" s="7"/>
      <c r="V21" s="7"/>
    </row>
    <row r="22" ht="14.25" customHeight="1">
      <c r="A22" s="4">
        <v>20082.0</v>
      </c>
      <c r="B22" s="11">
        <v>45680.0</v>
      </c>
      <c r="C22" s="4" t="s">
        <v>84</v>
      </c>
      <c r="D22" s="4" t="s">
        <v>46</v>
      </c>
      <c r="E22" s="4" t="s">
        <v>59</v>
      </c>
      <c r="F22" s="4" t="s">
        <v>86</v>
      </c>
      <c r="G22" s="4">
        <v>7.0</v>
      </c>
      <c r="H22" s="13">
        <v>124.0</v>
      </c>
      <c r="I22" s="13">
        <v>868.0</v>
      </c>
      <c r="J22" s="4">
        <v>10.0</v>
      </c>
      <c r="K22" s="13">
        <v>87.0</v>
      </c>
      <c r="L22" s="13">
        <v>781.0</v>
      </c>
      <c r="M22" s="4" t="s">
        <v>55</v>
      </c>
      <c r="N22" s="4" t="s">
        <v>62</v>
      </c>
      <c r="O22" s="4" t="s">
        <v>44</v>
      </c>
      <c r="P22" s="7"/>
      <c r="Q22" s="7"/>
      <c r="R22" s="7"/>
      <c r="S22" s="7"/>
      <c r="T22" s="7"/>
      <c r="U22" s="7"/>
      <c r="V22" s="7"/>
    </row>
    <row r="23" ht="14.25" customHeight="1">
      <c r="A23" s="4">
        <v>20086.0</v>
      </c>
      <c r="B23" s="11">
        <v>45681.0</v>
      </c>
      <c r="C23" s="4" t="s">
        <v>84</v>
      </c>
      <c r="D23" s="4" t="s">
        <v>46</v>
      </c>
      <c r="E23" s="4" t="s">
        <v>26</v>
      </c>
      <c r="F23" s="4" t="s">
        <v>74</v>
      </c>
      <c r="G23" s="4">
        <v>6.0</v>
      </c>
      <c r="H23" s="13">
        <v>503.0</v>
      </c>
      <c r="I23" s="13">
        <v>3018.0</v>
      </c>
      <c r="J23" s="4">
        <v>5.0</v>
      </c>
      <c r="K23" s="13">
        <v>151.0</v>
      </c>
      <c r="L23" s="13">
        <v>2867.0</v>
      </c>
      <c r="M23" s="4" t="s">
        <v>49</v>
      </c>
      <c r="N23" s="4" t="s">
        <v>50</v>
      </c>
      <c r="O23" s="4" t="s">
        <v>69</v>
      </c>
      <c r="P23" s="7"/>
      <c r="Q23" s="7"/>
      <c r="R23" s="7"/>
      <c r="S23" s="7"/>
      <c r="T23" s="7"/>
      <c r="U23" s="7"/>
      <c r="V23" s="7"/>
    </row>
    <row r="24" ht="14.25" customHeight="1">
      <c r="A24" s="4">
        <v>20196.0</v>
      </c>
      <c r="B24" s="11">
        <v>45682.0</v>
      </c>
      <c r="C24" s="4" t="s">
        <v>45</v>
      </c>
      <c r="D24" s="4" t="s">
        <v>46</v>
      </c>
      <c r="E24" s="4" t="s">
        <v>59</v>
      </c>
      <c r="F24" s="4" t="s">
        <v>83</v>
      </c>
      <c r="G24" s="4">
        <v>6.0</v>
      </c>
      <c r="H24" s="13">
        <v>213.0</v>
      </c>
      <c r="I24" s="13">
        <v>1278.0</v>
      </c>
      <c r="J24" s="4">
        <v>0.0</v>
      </c>
      <c r="K24" s="13">
        <v>0.0</v>
      </c>
      <c r="L24" s="13">
        <v>1278.0</v>
      </c>
      <c r="M24" s="4" t="s">
        <v>87</v>
      </c>
      <c r="N24" s="4" t="s">
        <v>43</v>
      </c>
      <c r="O24" s="4" t="s">
        <v>69</v>
      </c>
      <c r="P24" s="7"/>
      <c r="Q24" s="7"/>
      <c r="R24" s="7"/>
      <c r="S24" s="7"/>
      <c r="T24" s="7"/>
      <c r="U24" s="7"/>
      <c r="V24" s="7"/>
    </row>
    <row r="25" ht="14.25" customHeight="1">
      <c r="A25" s="4">
        <v>20113.0</v>
      </c>
      <c r="B25" s="11">
        <v>45684.0</v>
      </c>
      <c r="C25" s="4" t="s">
        <v>76</v>
      </c>
      <c r="D25" s="4" t="s">
        <v>64</v>
      </c>
      <c r="E25" s="4" t="s">
        <v>77</v>
      </c>
      <c r="F25" s="4" t="s">
        <v>88</v>
      </c>
      <c r="G25" s="4">
        <v>1.0</v>
      </c>
      <c r="H25" s="13">
        <v>3129.0</v>
      </c>
      <c r="I25" s="13">
        <v>3129.0</v>
      </c>
      <c r="J25" s="4">
        <v>5.0</v>
      </c>
      <c r="K25" s="13">
        <v>156.0</v>
      </c>
      <c r="L25" s="13">
        <v>2973.0</v>
      </c>
      <c r="M25" s="4" t="s">
        <v>49</v>
      </c>
      <c r="N25" s="4" t="s">
        <v>43</v>
      </c>
      <c r="O25" s="4" t="s">
        <v>44</v>
      </c>
      <c r="P25" s="7"/>
      <c r="Q25" s="7"/>
      <c r="R25" s="7"/>
      <c r="S25" s="7"/>
      <c r="T25" s="7"/>
      <c r="U25" s="7"/>
      <c r="V25" s="7"/>
    </row>
    <row r="26" ht="14.25" customHeight="1">
      <c r="A26" s="4">
        <v>20256.0</v>
      </c>
      <c r="B26" s="11">
        <v>45685.0</v>
      </c>
      <c r="C26" s="4" t="s">
        <v>63</v>
      </c>
      <c r="D26" s="4" t="s">
        <v>64</v>
      </c>
      <c r="E26" s="4" t="s">
        <v>59</v>
      </c>
      <c r="F26" s="4" t="s">
        <v>86</v>
      </c>
      <c r="G26" s="4">
        <v>2.0</v>
      </c>
      <c r="H26" s="13">
        <v>364.0</v>
      </c>
      <c r="I26" s="13">
        <v>728.0</v>
      </c>
      <c r="J26" s="4">
        <v>10.0</v>
      </c>
      <c r="K26" s="13">
        <v>73.0</v>
      </c>
      <c r="L26" s="13">
        <v>655.0</v>
      </c>
      <c r="M26" s="4" t="s">
        <v>81</v>
      </c>
      <c r="N26" s="4" t="s">
        <v>72</v>
      </c>
      <c r="O26" s="4" t="s">
        <v>44</v>
      </c>
      <c r="P26" s="7"/>
      <c r="Q26" s="7"/>
      <c r="R26" s="7"/>
      <c r="S26" s="7"/>
      <c r="T26" s="7"/>
      <c r="U26" s="7"/>
      <c r="V26" s="7"/>
    </row>
    <row r="27" ht="14.25" customHeight="1">
      <c r="A27" s="4">
        <v>20261.0</v>
      </c>
      <c r="B27" s="11">
        <v>45686.0</v>
      </c>
      <c r="C27" s="4" t="s">
        <v>89</v>
      </c>
      <c r="D27" s="4" t="s">
        <v>46</v>
      </c>
      <c r="E27" s="4" t="s">
        <v>77</v>
      </c>
      <c r="F27" s="4" t="s">
        <v>90</v>
      </c>
      <c r="G27" s="4">
        <v>1.0</v>
      </c>
      <c r="H27" s="13">
        <v>6646.0</v>
      </c>
      <c r="I27" s="13">
        <v>6646.0</v>
      </c>
      <c r="J27" s="4">
        <v>0.0</v>
      </c>
      <c r="K27" s="13">
        <v>0.0</v>
      </c>
      <c r="L27" s="13">
        <v>6646.0</v>
      </c>
      <c r="M27" s="4" t="s">
        <v>87</v>
      </c>
      <c r="N27" s="4" t="s">
        <v>56</v>
      </c>
      <c r="O27" s="4" t="s">
        <v>57</v>
      </c>
      <c r="P27" s="7"/>
      <c r="Q27" s="7"/>
      <c r="R27" s="7"/>
      <c r="S27" s="7"/>
      <c r="T27" s="7"/>
      <c r="U27" s="7"/>
      <c r="V27" s="7"/>
    </row>
    <row r="28" ht="14.25" customHeight="1">
      <c r="A28" s="4">
        <v>20014.0</v>
      </c>
      <c r="B28" s="11">
        <v>45687.0</v>
      </c>
      <c r="C28" s="4" t="s">
        <v>63</v>
      </c>
      <c r="D28" s="4" t="s">
        <v>64</v>
      </c>
      <c r="E28" s="4" t="s">
        <v>47</v>
      </c>
      <c r="F28" s="4" t="s">
        <v>91</v>
      </c>
      <c r="G28" s="4">
        <v>2.0</v>
      </c>
      <c r="H28" s="13">
        <v>2380.0</v>
      </c>
      <c r="I28" s="13">
        <v>4760.0</v>
      </c>
      <c r="J28" s="4">
        <v>20.0</v>
      </c>
      <c r="K28" s="13">
        <v>952.0</v>
      </c>
      <c r="L28" s="13">
        <v>3808.0</v>
      </c>
      <c r="M28" s="4" t="s">
        <v>68</v>
      </c>
      <c r="N28" s="4" t="s">
        <v>50</v>
      </c>
      <c r="O28" s="4" t="s">
        <v>57</v>
      </c>
      <c r="P28" s="7"/>
      <c r="Q28" s="7"/>
      <c r="R28" s="7"/>
      <c r="S28" s="7"/>
      <c r="T28" s="7"/>
      <c r="U28" s="7"/>
      <c r="V28" s="7"/>
    </row>
    <row r="29" ht="14.25" customHeight="1">
      <c r="A29" s="4">
        <v>20147.0</v>
      </c>
      <c r="B29" s="11">
        <v>45687.0</v>
      </c>
      <c r="C29" s="4" t="s">
        <v>92</v>
      </c>
      <c r="D29" s="4" t="s">
        <v>25</v>
      </c>
      <c r="E29" s="4" t="s">
        <v>59</v>
      </c>
      <c r="F29" s="4" t="s">
        <v>85</v>
      </c>
      <c r="G29" s="4">
        <v>9.0</v>
      </c>
      <c r="H29" s="13">
        <v>371.0</v>
      </c>
      <c r="I29" s="13">
        <v>3339.0</v>
      </c>
      <c r="J29" s="4">
        <v>0.0</v>
      </c>
      <c r="K29" s="13">
        <v>0.0</v>
      </c>
      <c r="L29" s="13">
        <v>3339.0</v>
      </c>
      <c r="M29" s="4" t="s">
        <v>68</v>
      </c>
      <c r="N29" s="4" t="s">
        <v>62</v>
      </c>
      <c r="O29" s="4" t="s">
        <v>69</v>
      </c>
      <c r="P29" s="7"/>
      <c r="Q29" s="7"/>
      <c r="R29" s="7"/>
      <c r="S29" s="7"/>
      <c r="T29" s="7"/>
      <c r="U29" s="7"/>
      <c r="V29" s="7"/>
    </row>
    <row r="30" ht="14.25" customHeight="1">
      <c r="A30" s="4">
        <v>20205.0</v>
      </c>
      <c r="B30" s="11">
        <v>45688.0</v>
      </c>
      <c r="C30" s="4" t="s">
        <v>93</v>
      </c>
      <c r="D30" s="4" t="s">
        <v>25</v>
      </c>
      <c r="E30" s="4" t="s">
        <v>26</v>
      </c>
      <c r="F30" s="4" t="s">
        <v>94</v>
      </c>
      <c r="G30" s="4">
        <v>1.0</v>
      </c>
      <c r="H30" s="13">
        <v>126.0</v>
      </c>
      <c r="I30" s="13">
        <v>126.0</v>
      </c>
      <c r="J30" s="4">
        <v>0.0</v>
      </c>
      <c r="K30" s="13">
        <v>0.0</v>
      </c>
      <c r="L30" s="13">
        <v>126.0</v>
      </c>
      <c r="M30" s="4" t="s">
        <v>68</v>
      </c>
      <c r="N30" s="4" t="s">
        <v>62</v>
      </c>
      <c r="O30" s="4" t="s">
        <v>69</v>
      </c>
      <c r="P30" s="7"/>
      <c r="Q30" s="7"/>
      <c r="R30" s="7"/>
      <c r="S30" s="7"/>
      <c r="T30" s="7"/>
      <c r="U30" s="7"/>
      <c r="V30" s="7"/>
    </row>
    <row r="31" ht="14.25" customHeight="1">
      <c r="A31" s="4">
        <v>20172.0</v>
      </c>
      <c r="B31" s="11">
        <v>45689.0</v>
      </c>
      <c r="C31" s="4" t="s">
        <v>76</v>
      </c>
      <c r="D31" s="4" t="s">
        <v>64</v>
      </c>
      <c r="E31" s="4" t="s">
        <v>47</v>
      </c>
      <c r="F31" s="4" t="s">
        <v>65</v>
      </c>
      <c r="G31" s="4">
        <v>9.0</v>
      </c>
      <c r="H31" s="13">
        <v>1742.0</v>
      </c>
      <c r="I31" s="13">
        <v>15678.0</v>
      </c>
      <c r="J31" s="4">
        <v>0.0</v>
      </c>
      <c r="K31" s="13">
        <v>0.0</v>
      </c>
      <c r="L31" s="13">
        <v>15678.0</v>
      </c>
      <c r="M31" s="4" t="s">
        <v>68</v>
      </c>
      <c r="N31" s="4" t="s">
        <v>43</v>
      </c>
      <c r="O31" s="4" t="s">
        <v>57</v>
      </c>
      <c r="P31" s="7"/>
      <c r="Q31" s="7"/>
      <c r="R31" s="7"/>
      <c r="S31" s="7"/>
      <c r="T31" s="7"/>
      <c r="U31" s="7"/>
      <c r="V31" s="7"/>
    </row>
    <row r="32" ht="14.25" customHeight="1">
      <c r="A32" s="4">
        <v>20263.0</v>
      </c>
      <c r="B32" s="11">
        <v>45690.0</v>
      </c>
      <c r="C32" s="4" t="s">
        <v>66</v>
      </c>
      <c r="D32" s="4" t="s">
        <v>46</v>
      </c>
      <c r="E32" s="4" t="s">
        <v>47</v>
      </c>
      <c r="F32" s="4" t="s">
        <v>91</v>
      </c>
      <c r="G32" s="4">
        <v>8.0</v>
      </c>
      <c r="H32" s="13">
        <v>2245.0</v>
      </c>
      <c r="I32" s="13">
        <v>17960.0</v>
      </c>
      <c r="J32" s="4">
        <v>20.0</v>
      </c>
      <c r="K32" s="13">
        <v>3592.0</v>
      </c>
      <c r="L32" s="13">
        <v>14368.0</v>
      </c>
      <c r="M32" s="4" t="s">
        <v>49</v>
      </c>
      <c r="N32" s="4" t="s">
        <v>50</v>
      </c>
      <c r="O32" s="4" t="s">
        <v>44</v>
      </c>
      <c r="P32" s="7"/>
      <c r="Q32" s="7"/>
      <c r="R32" s="7"/>
      <c r="S32" s="7"/>
      <c r="T32" s="7"/>
      <c r="U32" s="7"/>
      <c r="V32" s="7"/>
    </row>
    <row r="33" ht="14.25" customHeight="1">
      <c r="A33" s="4">
        <v>20303.0</v>
      </c>
      <c r="B33" s="11">
        <v>45692.0</v>
      </c>
      <c r="C33" s="4" t="s">
        <v>92</v>
      </c>
      <c r="D33" s="4" t="s">
        <v>25</v>
      </c>
      <c r="E33" s="4" t="s">
        <v>59</v>
      </c>
      <c r="F33" s="4" t="s">
        <v>83</v>
      </c>
      <c r="G33" s="4">
        <v>7.0</v>
      </c>
      <c r="H33" s="13">
        <v>326.0</v>
      </c>
      <c r="I33" s="13">
        <v>2282.0</v>
      </c>
      <c r="J33" s="4">
        <v>20.0</v>
      </c>
      <c r="K33" s="13">
        <v>456.0</v>
      </c>
      <c r="L33" s="13">
        <v>1826.0</v>
      </c>
      <c r="M33" s="4" t="s">
        <v>81</v>
      </c>
      <c r="N33" s="4" t="s">
        <v>56</v>
      </c>
      <c r="O33" s="4" t="s">
        <v>57</v>
      </c>
      <c r="P33" s="7"/>
      <c r="Q33" s="7"/>
      <c r="R33" s="7"/>
      <c r="S33" s="7"/>
      <c r="T33" s="7"/>
      <c r="U33" s="7"/>
      <c r="V33" s="7"/>
    </row>
    <row r="34" ht="14.25" customHeight="1">
      <c r="A34" s="4">
        <v>20085.0</v>
      </c>
      <c r="B34" s="11">
        <v>45693.0</v>
      </c>
      <c r="C34" s="4" t="s">
        <v>63</v>
      </c>
      <c r="D34" s="4" t="s">
        <v>64</v>
      </c>
      <c r="E34" s="4" t="s">
        <v>53</v>
      </c>
      <c r="F34" s="4" t="s">
        <v>75</v>
      </c>
      <c r="G34" s="4">
        <v>12.0</v>
      </c>
      <c r="H34" s="13">
        <v>500.0</v>
      </c>
      <c r="I34" s="13">
        <v>6000.0</v>
      </c>
      <c r="J34" s="4">
        <v>5.0</v>
      </c>
      <c r="K34" s="13">
        <v>300.0</v>
      </c>
      <c r="L34" s="13">
        <v>5700.0</v>
      </c>
      <c r="M34" s="4" t="s">
        <v>68</v>
      </c>
      <c r="N34" s="4" t="s">
        <v>72</v>
      </c>
      <c r="O34" s="4" t="s">
        <v>69</v>
      </c>
      <c r="P34" s="7"/>
      <c r="Q34" s="7"/>
      <c r="R34" s="7"/>
      <c r="S34" s="7"/>
      <c r="T34" s="7"/>
      <c r="U34" s="7"/>
      <c r="V34" s="7"/>
    </row>
    <row r="35" ht="14.25" customHeight="1">
      <c r="A35" s="4">
        <v>20267.0</v>
      </c>
      <c r="B35" s="11">
        <v>45693.0</v>
      </c>
      <c r="C35" s="4" t="s">
        <v>73</v>
      </c>
      <c r="D35" s="4" t="s">
        <v>52</v>
      </c>
      <c r="E35" s="4" t="s">
        <v>53</v>
      </c>
      <c r="F35" s="4" t="s">
        <v>95</v>
      </c>
      <c r="G35" s="4">
        <v>6.0</v>
      </c>
      <c r="H35" s="13">
        <v>1234.0</v>
      </c>
      <c r="I35" s="13">
        <v>7404.0</v>
      </c>
      <c r="J35" s="4">
        <v>0.0</v>
      </c>
      <c r="K35" s="13">
        <v>0.0</v>
      </c>
      <c r="L35" s="13">
        <v>7404.0</v>
      </c>
      <c r="M35" s="4" t="s">
        <v>96</v>
      </c>
      <c r="N35" s="4" t="s">
        <v>56</v>
      </c>
      <c r="O35" s="4" t="s">
        <v>44</v>
      </c>
      <c r="P35" s="7"/>
      <c r="Q35" s="7"/>
      <c r="R35" s="7"/>
      <c r="S35" s="7"/>
      <c r="T35" s="7"/>
      <c r="U35" s="7"/>
      <c r="V35" s="7"/>
    </row>
    <row r="36" ht="14.25" customHeight="1">
      <c r="A36" s="4">
        <v>20026.0</v>
      </c>
      <c r="B36" s="11">
        <v>45695.0</v>
      </c>
      <c r="C36" s="4" t="s">
        <v>97</v>
      </c>
      <c r="D36" s="4" t="s">
        <v>25</v>
      </c>
      <c r="E36" s="4" t="s">
        <v>59</v>
      </c>
      <c r="F36" s="4" t="s">
        <v>83</v>
      </c>
      <c r="G36" s="4">
        <v>10.0</v>
      </c>
      <c r="H36" s="13">
        <v>169.0</v>
      </c>
      <c r="I36" s="13">
        <v>1690.0</v>
      </c>
      <c r="J36" s="4">
        <v>0.0</v>
      </c>
      <c r="K36" s="13">
        <v>0.0</v>
      </c>
      <c r="L36" s="13">
        <v>1690.0</v>
      </c>
      <c r="M36" s="4" t="s">
        <v>68</v>
      </c>
      <c r="N36" s="4" t="s">
        <v>72</v>
      </c>
      <c r="O36" s="4" t="s">
        <v>69</v>
      </c>
      <c r="P36" s="7"/>
      <c r="Q36" s="7"/>
      <c r="R36" s="7"/>
      <c r="S36" s="7"/>
      <c r="T36" s="7"/>
      <c r="U36" s="7"/>
      <c r="V36" s="7"/>
    </row>
    <row r="37" ht="14.25" customHeight="1">
      <c r="A37" s="4">
        <v>20042.0</v>
      </c>
      <c r="B37" s="11">
        <v>45695.0</v>
      </c>
      <c r="C37" s="4" t="s">
        <v>73</v>
      </c>
      <c r="D37" s="4" t="s">
        <v>52</v>
      </c>
      <c r="E37" s="4" t="s">
        <v>59</v>
      </c>
      <c r="F37" s="14" t="s">
        <v>83</v>
      </c>
      <c r="G37" s="4">
        <v>4.0</v>
      </c>
      <c r="H37" s="13">
        <v>184.0</v>
      </c>
      <c r="I37" s="13">
        <v>736.0</v>
      </c>
      <c r="J37" s="4">
        <v>15.0</v>
      </c>
      <c r="K37" s="13">
        <v>110.0</v>
      </c>
      <c r="L37" s="13">
        <v>626.0</v>
      </c>
      <c r="M37" s="4" t="s">
        <v>81</v>
      </c>
      <c r="N37" s="4" t="s">
        <v>62</v>
      </c>
      <c r="O37" s="4" t="s">
        <v>44</v>
      </c>
      <c r="P37" s="7"/>
      <c r="Q37" s="7"/>
      <c r="R37" s="7"/>
      <c r="S37" s="7"/>
      <c r="T37" s="7"/>
      <c r="U37" s="7"/>
      <c r="V37" s="7"/>
    </row>
    <row r="38" ht="14.25" customHeight="1">
      <c r="A38" s="4">
        <v>20123.0</v>
      </c>
      <c r="B38" s="11">
        <v>45695.0</v>
      </c>
      <c r="C38" s="4" t="s">
        <v>89</v>
      </c>
      <c r="D38" s="4" t="s">
        <v>46</v>
      </c>
      <c r="E38" s="4" t="s">
        <v>59</v>
      </c>
      <c r="F38" s="4" t="s">
        <v>86</v>
      </c>
      <c r="G38" s="4">
        <v>1.0</v>
      </c>
      <c r="H38" s="13">
        <v>99.0</v>
      </c>
      <c r="I38" s="13">
        <v>99.0</v>
      </c>
      <c r="J38" s="4">
        <v>10.0</v>
      </c>
      <c r="K38" s="13">
        <v>10.0</v>
      </c>
      <c r="L38" s="13">
        <v>89.0</v>
      </c>
      <c r="M38" s="4" t="s">
        <v>49</v>
      </c>
      <c r="N38" s="4" t="s">
        <v>56</v>
      </c>
      <c r="O38" s="4" t="s">
        <v>44</v>
      </c>
      <c r="P38" s="7"/>
      <c r="Q38" s="7"/>
      <c r="R38" s="7"/>
      <c r="S38" s="7"/>
      <c r="T38" s="7"/>
      <c r="U38" s="7"/>
      <c r="V38" s="7"/>
    </row>
    <row r="39" ht="14.25" customHeight="1">
      <c r="A39" s="4">
        <v>20154.0</v>
      </c>
      <c r="B39" s="11">
        <v>45695.0</v>
      </c>
      <c r="C39" s="4" t="s">
        <v>76</v>
      </c>
      <c r="D39" s="4" t="s">
        <v>64</v>
      </c>
      <c r="E39" s="4" t="s">
        <v>53</v>
      </c>
      <c r="F39" s="4" t="s">
        <v>98</v>
      </c>
      <c r="G39" s="4">
        <v>2.0</v>
      </c>
      <c r="H39" s="13">
        <v>1691.0</v>
      </c>
      <c r="I39" s="13">
        <v>3382.0</v>
      </c>
      <c r="J39" s="4">
        <v>0.0</v>
      </c>
      <c r="K39" s="13">
        <v>0.0</v>
      </c>
      <c r="L39" s="13">
        <v>3382.0</v>
      </c>
      <c r="M39" s="4" t="s">
        <v>87</v>
      </c>
      <c r="N39" s="4" t="s">
        <v>56</v>
      </c>
      <c r="O39" s="4" t="s">
        <v>69</v>
      </c>
      <c r="P39" s="7"/>
      <c r="Q39" s="7"/>
      <c r="R39" s="7"/>
      <c r="S39" s="7"/>
      <c r="T39" s="7"/>
      <c r="U39" s="7"/>
      <c r="V39" s="7"/>
    </row>
    <row r="40" ht="14.25" customHeight="1">
      <c r="A40" s="4">
        <v>20189.0</v>
      </c>
      <c r="B40" s="11">
        <v>45695.0</v>
      </c>
      <c r="C40" s="4" t="s">
        <v>93</v>
      </c>
      <c r="D40" s="4" t="s">
        <v>25</v>
      </c>
      <c r="E40" s="4" t="s">
        <v>59</v>
      </c>
      <c r="F40" s="4" t="s">
        <v>85</v>
      </c>
      <c r="G40" s="4">
        <v>12.0</v>
      </c>
      <c r="H40" s="13">
        <v>95.0</v>
      </c>
      <c r="I40" s="13">
        <v>1140.0</v>
      </c>
      <c r="J40" s="4">
        <v>0.0</v>
      </c>
      <c r="K40" s="13">
        <v>0.0</v>
      </c>
      <c r="L40" s="13">
        <v>1140.0</v>
      </c>
      <c r="M40" s="4" t="s">
        <v>96</v>
      </c>
      <c r="N40" s="4" t="s">
        <v>43</v>
      </c>
      <c r="O40" s="4" t="s">
        <v>69</v>
      </c>
      <c r="P40" s="7"/>
      <c r="Q40" s="7"/>
      <c r="R40" s="7"/>
      <c r="S40" s="7"/>
      <c r="T40" s="7"/>
      <c r="U40" s="7"/>
      <c r="V40" s="7"/>
    </row>
    <row r="41" ht="14.25" customHeight="1">
      <c r="A41" s="4">
        <v>20359.0</v>
      </c>
      <c r="B41" s="11">
        <v>45695.0</v>
      </c>
      <c r="C41" s="4" t="s">
        <v>84</v>
      </c>
      <c r="D41" s="4" t="s">
        <v>46</v>
      </c>
      <c r="E41" s="4" t="s">
        <v>47</v>
      </c>
      <c r="F41" s="4" t="s">
        <v>65</v>
      </c>
      <c r="G41" s="4">
        <v>3.0</v>
      </c>
      <c r="H41" s="13">
        <v>1902.0</v>
      </c>
      <c r="I41" s="13">
        <v>5706.0</v>
      </c>
      <c r="J41" s="4">
        <v>10.0</v>
      </c>
      <c r="K41" s="13">
        <v>571.0</v>
      </c>
      <c r="L41" s="13">
        <v>5135.0</v>
      </c>
      <c r="M41" s="4" t="s">
        <v>87</v>
      </c>
      <c r="N41" s="4" t="s">
        <v>43</v>
      </c>
      <c r="O41" s="4" t="s">
        <v>69</v>
      </c>
      <c r="P41" s="7"/>
      <c r="Q41" s="7"/>
      <c r="R41" s="7"/>
      <c r="S41" s="7"/>
      <c r="T41" s="7"/>
      <c r="U41" s="7"/>
      <c r="V41" s="7"/>
    </row>
    <row r="42" ht="14.25" customHeight="1">
      <c r="A42" s="4">
        <v>20273.0</v>
      </c>
      <c r="B42" s="11">
        <v>45696.0</v>
      </c>
      <c r="C42" s="4" t="s">
        <v>99</v>
      </c>
      <c r="D42" s="4" t="s">
        <v>64</v>
      </c>
      <c r="E42" s="4" t="s">
        <v>77</v>
      </c>
      <c r="F42" s="4" t="s">
        <v>88</v>
      </c>
      <c r="G42" s="4">
        <v>2.0</v>
      </c>
      <c r="H42" s="13">
        <v>1765.0</v>
      </c>
      <c r="I42" s="13">
        <v>3530.0</v>
      </c>
      <c r="J42" s="4">
        <v>0.0</v>
      </c>
      <c r="K42" s="13">
        <v>0.0</v>
      </c>
      <c r="L42" s="13">
        <v>3530.0</v>
      </c>
      <c r="M42" s="4" t="s">
        <v>61</v>
      </c>
      <c r="N42" s="4" t="s">
        <v>62</v>
      </c>
      <c r="O42" s="4" t="s">
        <v>57</v>
      </c>
      <c r="P42" s="7"/>
      <c r="Q42" s="7"/>
      <c r="R42" s="7"/>
      <c r="S42" s="7"/>
      <c r="T42" s="7"/>
      <c r="U42" s="7"/>
      <c r="V42" s="7"/>
    </row>
    <row r="43" ht="14.25" customHeight="1">
      <c r="A43" s="4">
        <v>20119.0</v>
      </c>
      <c r="B43" s="11">
        <v>45698.0</v>
      </c>
      <c r="C43" s="4" t="s">
        <v>51</v>
      </c>
      <c r="D43" s="4" t="s">
        <v>52</v>
      </c>
      <c r="E43" s="4" t="s">
        <v>53</v>
      </c>
      <c r="F43" s="4" t="s">
        <v>98</v>
      </c>
      <c r="G43" s="4">
        <v>6.0</v>
      </c>
      <c r="H43" s="13">
        <v>1894.0</v>
      </c>
      <c r="I43" s="13">
        <v>11364.0</v>
      </c>
      <c r="J43" s="4">
        <v>10.0</v>
      </c>
      <c r="K43" s="13">
        <v>1136.0</v>
      </c>
      <c r="L43" s="13">
        <v>10228.0</v>
      </c>
      <c r="M43" s="4" t="s">
        <v>71</v>
      </c>
      <c r="N43" s="4" t="s">
        <v>56</v>
      </c>
      <c r="O43" s="4" t="s">
        <v>57</v>
      </c>
      <c r="P43" s="7"/>
      <c r="Q43" s="7"/>
      <c r="R43" s="7"/>
      <c r="S43" s="7"/>
      <c r="T43" s="7"/>
      <c r="U43" s="7"/>
      <c r="V43" s="7"/>
    </row>
    <row r="44" ht="14.25" customHeight="1">
      <c r="A44" s="4">
        <v>20060.0</v>
      </c>
      <c r="B44" s="11">
        <v>45701.0</v>
      </c>
      <c r="C44" s="4" t="s">
        <v>63</v>
      </c>
      <c r="D44" s="4" t="s">
        <v>64</v>
      </c>
      <c r="E44" s="4" t="s">
        <v>59</v>
      </c>
      <c r="F44" s="4" t="s">
        <v>86</v>
      </c>
      <c r="G44" s="4">
        <v>9.0</v>
      </c>
      <c r="H44" s="13">
        <v>390.0</v>
      </c>
      <c r="I44" s="13">
        <v>3510.0</v>
      </c>
      <c r="J44" s="4">
        <v>5.0</v>
      </c>
      <c r="K44" s="13">
        <v>176.0</v>
      </c>
      <c r="L44" s="13">
        <v>3334.0</v>
      </c>
      <c r="M44" s="4" t="s">
        <v>81</v>
      </c>
      <c r="N44" s="4" t="s">
        <v>62</v>
      </c>
      <c r="O44" s="4" t="s">
        <v>44</v>
      </c>
      <c r="P44" s="7"/>
      <c r="Q44" s="7"/>
      <c r="R44" s="7"/>
      <c r="S44" s="7"/>
      <c r="T44" s="7"/>
      <c r="U44" s="7"/>
      <c r="V44" s="7"/>
    </row>
    <row r="45" ht="14.25" customHeight="1">
      <c r="A45" s="4">
        <v>20075.0</v>
      </c>
      <c r="B45" s="11">
        <v>45703.0</v>
      </c>
      <c r="C45" s="4" t="s">
        <v>84</v>
      </c>
      <c r="D45" s="4" t="s">
        <v>46</v>
      </c>
      <c r="E45" s="4" t="s">
        <v>53</v>
      </c>
      <c r="F45" s="4" t="s">
        <v>95</v>
      </c>
      <c r="G45" s="4">
        <v>2.0</v>
      </c>
      <c r="H45" s="13">
        <v>1352.0</v>
      </c>
      <c r="I45" s="13">
        <v>2704.0</v>
      </c>
      <c r="J45" s="4">
        <v>5.0</v>
      </c>
      <c r="K45" s="13">
        <v>135.0</v>
      </c>
      <c r="L45" s="13">
        <v>2569.0</v>
      </c>
      <c r="M45" s="4" t="s">
        <v>61</v>
      </c>
      <c r="N45" s="4" t="s">
        <v>62</v>
      </c>
      <c r="O45" s="4" t="s">
        <v>69</v>
      </c>
      <c r="P45" s="7"/>
      <c r="Q45" s="7"/>
      <c r="R45" s="7"/>
      <c r="S45" s="7"/>
      <c r="T45" s="7"/>
      <c r="U45" s="7"/>
      <c r="V45" s="7"/>
    </row>
    <row r="46" ht="14.25" customHeight="1">
      <c r="A46" s="4">
        <v>20320.0</v>
      </c>
      <c r="B46" s="11">
        <v>45703.0</v>
      </c>
      <c r="C46" s="4" t="s">
        <v>63</v>
      </c>
      <c r="D46" s="4" t="s">
        <v>64</v>
      </c>
      <c r="E46" s="4" t="s">
        <v>53</v>
      </c>
      <c r="F46" s="4" t="s">
        <v>75</v>
      </c>
      <c r="G46" s="4">
        <v>12.0</v>
      </c>
      <c r="H46" s="13">
        <v>977.0</v>
      </c>
      <c r="I46" s="13">
        <v>11724.0</v>
      </c>
      <c r="J46" s="4">
        <v>10.0</v>
      </c>
      <c r="K46" s="13">
        <v>1172.0</v>
      </c>
      <c r="L46" s="13">
        <v>10552.0</v>
      </c>
      <c r="M46" s="4" t="s">
        <v>96</v>
      </c>
      <c r="N46" s="4" t="s">
        <v>43</v>
      </c>
      <c r="O46" s="4" t="s">
        <v>69</v>
      </c>
      <c r="P46" s="7"/>
      <c r="Q46" s="7"/>
      <c r="R46" s="7"/>
      <c r="S46" s="7"/>
      <c r="T46" s="7"/>
      <c r="U46" s="7"/>
      <c r="V46" s="7"/>
    </row>
    <row r="47" ht="14.25" customHeight="1">
      <c r="A47" s="4">
        <v>20250.0</v>
      </c>
      <c r="B47" s="11">
        <v>45704.0</v>
      </c>
      <c r="C47" s="4" t="s">
        <v>58</v>
      </c>
      <c r="D47" s="4" t="s">
        <v>25</v>
      </c>
      <c r="E47" s="4" t="s">
        <v>26</v>
      </c>
      <c r="F47" s="4" t="s">
        <v>100</v>
      </c>
      <c r="G47" s="4">
        <v>8.0</v>
      </c>
      <c r="H47" s="13">
        <v>199.0</v>
      </c>
      <c r="I47" s="13">
        <v>1592.0</v>
      </c>
      <c r="J47" s="4">
        <v>15.0</v>
      </c>
      <c r="K47" s="13">
        <v>239.0</v>
      </c>
      <c r="L47" s="13">
        <v>1353.0</v>
      </c>
      <c r="M47" s="4" t="s">
        <v>42</v>
      </c>
      <c r="N47" s="4" t="s">
        <v>62</v>
      </c>
      <c r="O47" s="4" t="s">
        <v>69</v>
      </c>
      <c r="P47" s="7"/>
      <c r="Q47" s="7"/>
      <c r="R47" s="7"/>
      <c r="S47" s="7"/>
      <c r="T47" s="7"/>
      <c r="U47" s="7"/>
      <c r="V47" s="7"/>
    </row>
    <row r="48" ht="14.25" customHeight="1">
      <c r="A48" s="4">
        <v>20336.0</v>
      </c>
      <c r="B48" s="11">
        <v>45705.0</v>
      </c>
      <c r="C48" s="4" t="s">
        <v>45</v>
      </c>
      <c r="D48" s="4" t="s">
        <v>46</v>
      </c>
      <c r="E48" s="4" t="s">
        <v>53</v>
      </c>
      <c r="F48" s="4" t="s">
        <v>75</v>
      </c>
      <c r="G48" s="4">
        <v>2.0</v>
      </c>
      <c r="H48" s="13">
        <v>1233.0</v>
      </c>
      <c r="I48" s="13">
        <v>2466.0</v>
      </c>
      <c r="J48" s="4">
        <v>15.0</v>
      </c>
      <c r="K48" s="13">
        <v>370.0</v>
      </c>
      <c r="L48" s="13">
        <v>2096.0</v>
      </c>
      <c r="M48" s="4" t="s">
        <v>42</v>
      </c>
      <c r="N48" s="4" t="s">
        <v>43</v>
      </c>
      <c r="O48" s="4" t="s">
        <v>57</v>
      </c>
      <c r="P48" s="7"/>
      <c r="Q48" s="7"/>
      <c r="R48" s="7"/>
      <c r="S48" s="7"/>
      <c r="T48" s="7"/>
      <c r="U48" s="7"/>
      <c r="V48" s="7"/>
    </row>
    <row r="49" ht="14.25" customHeight="1">
      <c r="A49" s="4">
        <v>20068.0</v>
      </c>
      <c r="B49" s="11">
        <v>45708.0</v>
      </c>
      <c r="C49" s="4" t="s">
        <v>99</v>
      </c>
      <c r="D49" s="4" t="s">
        <v>64</v>
      </c>
      <c r="E49" s="4" t="s">
        <v>77</v>
      </c>
      <c r="F49" s="4" t="s">
        <v>101</v>
      </c>
      <c r="G49" s="4">
        <v>11.0</v>
      </c>
      <c r="H49" s="13">
        <v>2186.0</v>
      </c>
      <c r="I49" s="13">
        <v>24046.0</v>
      </c>
      <c r="J49" s="4">
        <v>0.0</v>
      </c>
      <c r="K49" s="13">
        <v>0.0</v>
      </c>
      <c r="L49" s="13">
        <v>24046.0</v>
      </c>
      <c r="M49" s="4" t="s">
        <v>68</v>
      </c>
      <c r="N49" s="4" t="s">
        <v>62</v>
      </c>
      <c r="O49" s="4" t="s">
        <v>44</v>
      </c>
      <c r="P49" s="7"/>
      <c r="Q49" s="7"/>
      <c r="R49" s="7"/>
      <c r="S49" s="7"/>
      <c r="T49" s="7"/>
      <c r="U49" s="7"/>
      <c r="V49" s="7"/>
    </row>
    <row r="50" ht="14.25" customHeight="1">
      <c r="A50" s="4">
        <v>20006.0</v>
      </c>
      <c r="B50" s="11">
        <v>45709.0</v>
      </c>
      <c r="C50" s="4" t="s">
        <v>51</v>
      </c>
      <c r="D50" s="4" t="s">
        <v>52</v>
      </c>
      <c r="E50" s="4" t="s">
        <v>53</v>
      </c>
      <c r="F50" s="4" t="s">
        <v>48</v>
      </c>
      <c r="G50" s="4">
        <v>11.0</v>
      </c>
      <c r="H50" s="13">
        <v>1057.0</v>
      </c>
      <c r="I50" s="13">
        <v>11627.0</v>
      </c>
      <c r="J50" s="4">
        <v>15.0</v>
      </c>
      <c r="K50" s="13">
        <v>1744.0</v>
      </c>
      <c r="L50" s="13">
        <v>9883.0</v>
      </c>
      <c r="M50" s="4" t="s">
        <v>96</v>
      </c>
      <c r="N50" s="4" t="s">
        <v>62</v>
      </c>
      <c r="O50" s="4" t="s">
        <v>57</v>
      </c>
      <c r="P50" s="7"/>
      <c r="Q50" s="7"/>
      <c r="R50" s="7"/>
      <c r="S50" s="7"/>
      <c r="T50" s="7"/>
      <c r="U50" s="7"/>
      <c r="V50" s="7"/>
    </row>
    <row r="51" ht="14.25" customHeight="1">
      <c r="A51" s="4">
        <v>20083.0</v>
      </c>
      <c r="B51" s="11">
        <v>45709.0</v>
      </c>
      <c r="C51" s="4" t="s">
        <v>73</v>
      </c>
      <c r="D51" s="4" t="s">
        <v>52</v>
      </c>
      <c r="E51" s="4" t="s">
        <v>26</v>
      </c>
      <c r="F51" s="4" t="s">
        <v>94</v>
      </c>
      <c r="G51" s="4">
        <v>3.0</v>
      </c>
      <c r="H51" s="13">
        <v>539.0</v>
      </c>
      <c r="I51" s="13">
        <v>1617.0</v>
      </c>
      <c r="J51" s="4">
        <v>5.0</v>
      </c>
      <c r="K51" s="13">
        <v>81.0</v>
      </c>
      <c r="L51" s="13">
        <v>1536.0</v>
      </c>
      <c r="M51" s="4" t="s">
        <v>96</v>
      </c>
      <c r="N51" s="4" t="s">
        <v>72</v>
      </c>
      <c r="O51" s="4" t="s">
        <v>57</v>
      </c>
      <c r="P51" s="7"/>
      <c r="Q51" s="7"/>
      <c r="R51" s="7"/>
      <c r="S51" s="7"/>
      <c r="T51" s="7"/>
      <c r="U51" s="7"/>
      <c r="V51" s="7"/>
    </row>
    <row r="52" ht="14.25" customHeight="1">
      <c r="A52" s="4">
        <v>20130.0</v>
      </c>
      <c r="B52" s="11">
        <v>45709.0</v>
      </c>
      <c r="C52" s="4" t="s">
        <v>93</v>
      </c>
      <c r="D52" s="4" t="s">
        <v>25</v>
      </c>
      <c r="E52" s="4" t="s">
        <v>53</v>
      </c>
      <c r="F52" s="4" t="s">
        <v>54</v>
      </c>
      <c r="G52" s="4">
        <v>3.0</v>
      </c>
      <c r="H52" s="13">
        <v>631.0</v>
      </c>
      <c r="I52" s="13">
        <v>1893.0</v>
      </c>
      <c r="J52" s="4">
        <v>15.0</v>
      </c>
      <c r="K52" s="13">
        <v>284.0</v>
      </c>
      <c r="L52" s="13">
        <v>1609.0</v>
      </c>
      <c r="M52" s="4" t="s">
        <v>42</v>
      </c>
      <c r="N52" s="4" t="s">
        <v>62</v>
      </c>
      <c r="O52" s="4" t="s">
        <v>44</v>
      </c>
      <c r="P52" s="7"/>
      <c r="Q52" s="7"/>
      <c r="R52" s="7"/>
      <c r="S52" s="7"/>
      <c r="T52" s="7"/>
      <c r="U52" s="7"/>
      <c r="V52" s="7"/>
    </row>
    <row r="53" ht="14.25" customHeight="1">
      <c r="A53" s="4">
        <v>20254.0</v>
      </c>
      <c r="B53" s="11">
        <v>45709.0</v>
      </c>
      <c r="C53" s="4" t="s">
        <v>76</v>
      </c>
      <c r="D53" s="4" t="s">
        <v>64</v>
      </c>
      <c r="E53" s="4" t="s">
        <v>26</v>
      </c>
      <c r="F53" s="4" t="s">
        <v>70</v>
      </c>
      <c r="G53" s="4">
        <v>12.0</v>
      </c>
      <c r="H53" s="13">
        <v>513.0</v>
      </c>
      <c r="I53" s="13">
        <v>6156.0</v>
      </c>
      <c r="J53" s="4">
        <v>0.0</v>
      </c>
      <c r="K53" s="13">
        <v>0.0</v>
      </c>
      <c r="L53" s="13">
        <v>6156.0</v>
      </c>
      <c r="M53" s="4" t="s">
        <v>96</v>
      </c>
      <c r="N53" s="4" t="s">
        <v>62</v>
      </c>
      <c r="O53" s="4" t="s">
        <v>69</v>
      </c>
      <c r="P53" s="7"/>
      <c r="Q53" s="7"/>
      <c r="R53" s="7"/>
      <c r="S53" s="7"/>
      <c r="T53" s="7"/>
      <c r="U53" s="7"/>
      <c r="V53" s="7"/>
    </row>
    <row r="54" ht="14.25" customHeight="1">
      <c r="A54" s="4">
        <v>20410.0</v>
      </c>
      <c r="B54" s="11">
        <v>45709.0</v>
      </c>
      <c r="C54" s="4" t="s">
        <v>84</v>
      </c>
      <c r="D54" s="4" t="s">
        <v>46</v>
      </c>
      <c r="E54" s="4" t="s">
        <v>53</v>
      </c>
      <c r="F54" s="4" t="s">
        <v>54</v>
      </c>
      <c r="G54" s="4">
        <v>14.0</v>
      </c>
      <c r="H54" s="13">
        <v>1422.0</v>
      </c>
      <c r="I54" s="13">
        <v>19908.0</v>
      </c>
      <c r="J54" s="4">
        <v>0.0</v>
      </c>
      <c r="K54" s="13">
        <v>0.0</v>
      </c>
      <c r="L54" s="13">
        <v>19908.0</v>
      </c>
      <c r="M54" s="4" t="s">
        <v>42</v>
      </c>
      <c r="N54" s="4" t="s">
        <v>56</v>
      </c>
      <c r="O54" s="4" t="s">
        <v>44</v>
      </c>
      <c r="P54" s="7"/>
      <c r="Q54" s="7"/>
      <c r="R54" s="7"/>
      <c r="S54" s="7"/>
      <c r="T54" s="7"/>
      <c r="U54" s="7"/>
      <c r="V54" s="7"/>
    </row>
    <row r="55" ht="14.25" customHeight="1">
      <c r="A55" s="4">
        <v>20028.0</v>
      </c>
      <c r="B55" s="11">
        <v>45711.0</v>
      </c>
      <c r="C55" s="4" t="s">
        <v>76</v>
      </c>
      <c r="D55" s="4" t="s">
        <v>64</v>
      </c>
      <c r="E55" s="4" t="s">
        <v>53</v>
      </c>
      <c r="F55" s="4" t="s">
        <v>102</v>
      </c>
      <c r="G55" s="4">
        <v>15.0</v>
      </c>
      <c r="H55" s="13">
        <v>1432.0</v>
      </c>
      <c r="I55" s="13">
        <v>21480.0</v>
      </c>
      <c r="J55" s="4">
        <v>0.0</v>
      </c>
      <c r="K55" s="13">
        <v>0.0</v>
      </c>
      <c r="L55" s="13">
        <v>21480.0</v>
      </c>
      <c r="M55" s="4" t="s">
        <v>49</v>
      </c>
      <c r="N55" s="4" t="s">
        <v>50</v>
      </c>
      <c r="O55" s="4" t="s">
        <v>57</v>
      </c>
      <c r="P55" s="7"/>
      <c r="Q55" s="7"/>
      <c r="R55" s="7"/>
      <c r="S55" s="7"/>
      <c r="T55" s="7"/>
      <c r="U55" s="7"/>
      <c r="V55" s="7"/>
    </row>
    <row r="56" ht="14.25" customHeight="1">
      <c r="A56" s="4">
        <v>20227.0</v>
      </c>
      <c r="B56" s="11">
        <v>45712.0</v>
      </c>
      <c r="C56" s="4" t="s">
        <v>97</v>
      </c>
      <c r="D56" s="4" t="s">
        <v>25</v>
      </c>
      <c r="E56" s="4" t="s">
        <v>26</v>
      </c>
      <c r="F56" s="4" t="s">
        <v>74</v>
      </c>
      <c r="G56" s="4">
        <v>4.0</v>
      </c>
      <c r="H56" s="13">
        <v>642.0</v>
      </c>
      <c r="I56" s="13">
        <v>2568.0</v>
      </c>
      <c r="J56" s="4">
        <v>5.0</v>
      </c>
      <c r="K56" s="13">
        <v>128.0</v>
      </c>
      <c r="L56" s="13">
        <v>2440.0</v>
      </c>
      <c r="M56" s="4" t="s">
        <v>55</v>
      </c>
      <c r="N56" s="4" t="s">
        <v>43</v>
      </c>
      <c r="O56" s="4" t="s">
        <v>44</v>
      </c>
      <c r="P56" s="7"/>
      <c r="Q56" s="7"/>
      <c r="R56" s="7"/>
      <c r="S56" s="7"/>
      <c r="T56" s="7"/>
      <c r="U56" s="7"/>
      <c r="V56" s="7"/>
    </row>
    <row r="57" ht="14.25" customHeight="1">
      <c r="A57" s="4">
        <v>20367.0</v>
      </c>
      <c r="B57" s="11">
        <v>45712.0</v>
      </c>
      <c r="C57" s="4" t="s">
        <v>89</v>
      </c>
      <c r="D57" s="4" t="s">
        <v>46</v>
      </c>
      <c r="E57" s="4" t="s">
        <v>53</v>
      </c>
      <c r="F57" s="4" t="s">
        <v>54</v>
      </c>
      <c r="G57" s="4">
        <v>2.0</v>
      </c>
      <c r="H57" s="13">
        <v>1195.0</v>
      </c>
      <c r="I57" s="13">
        <v>2390.0</v>
      </c>
      <c r="J57" s="4">
        <v>20.0</v>
      </c>
      <c r="K57" s="13">
        <v>478.0</v>
      </c>
      <c r="L57" s="13">
        <v>1912.0</v>
      </c>
      <c r="M57" s="4" t="s">
        <v>81</v>
      </c>
      <c r="N57" s="4" t="s">
        <v>43</v>
      </c>
      <c r="O57" s="4" t="s">
        <v>69</v>
      </c>
      <c r="P57" s="7"/>
      <c r="Q57" s="7"/>
      <c r="R57" s="7"/>
      <c r="S57" s="7"/>
      <c r="T57" s="7"/>
      <c r="U57" s="7"/>
      <c r="V57" s="7"/>
    </row>
    <row r="58" ht="14.25" customHeight="1">
      <c r="A58" s="4">
        <v>20393.0</v>
      </c>
      <c r="B58" s="11">
        <v>45712.0</v>
      </c>
      <c r="C58" s="4" t="s">
        <v>76</v>
      </c>
      <c r="D58" s="4" t="s">
        <v>64</v>
      </c>
      <c r="E58" s="4" t="s">
        <v>59</v>
      </c>
      <c r="F58" s="4" t="s">
        <v>83</v>
      </c>
      <c r="G58" s="4">
        <v>5.0</v>
      </c>
      <c r="H58" s="13">
        <v>276.0</v>
      </c>
      <c r="I58" s="13">
        <v>1380.0</v>
      </c>
      <c r="J58" s="4">
        <v>10.0</v>
      </c>
      <c r="K58" s="13">
        <v>138.0</v>
      </c>
      <c r="L58" s="13">
        <v>1242.0</v>
      </c>
      <c r="M58" s="4" t="s">
        <v>96</v>
      </c>
      <c r="N58" s="4" t="s">
        <v>43</v>
      </c>
      <c r="O58" s="4" t="s">
        <v>69</v>
      </c>
      <c r="P58" s="7"/>
      <c r="Q58" s="7"/>
      <c r="R58" s="7"/>
      <c r="S58" s="7"/>
      <c r="T58" s="7"/>
      <c r="U58" s="7"/>
      <c r="V58" s="7"/>
    </row>
    <row r="59" ht="14.25" customHeight="1">
      <c r="A59" s="4">
        <v>20103.0</v>
      </c>
      <c r="B59" s="11">
        <v>45713.0</v>
      </c>
      <c r="C59" s="4" t="s">
        <v>73</v>
      </c>
      <c r="D59" s="4" t="s">
        <v>52</v>
      </c>
      <c r="E59" s="4" t="s">
        <v>47</v>
      </c>
      <c r="F59" s="4" t="s">
        <v>65</v>
      </c>
      <c r="G59" s="4">
        <v>10.0</v>
      </c>
      <c r="H59" s="13">
        <v>1434.0</v>
      </c>
      <c r="I59" s="13">
        <v>14340.0</v>
      </c>
      <c r="J59" s="4">
        <v>5.0</v>
      </c>
      <c r="K59" s="13">
        <v>717.0</v>
      </c>
      <c r="L59" s="13">
        <v>13623.0</v>
      </c>
      <c r="M59" s="4" t="s">
        <v>81</v>
      </c>
      <c r="N59" s="4" t="s">
        <v>62</v>
      </c>
      <c r="O59" s="4" t="s">
        <v>44</v>
      </c>
      <c r="P59" s="7"/>
      <c r="Q59" s="7"/>
      <c r="R59" s="7"/>
      <c r="S59" s="7"/>
      <c r="T59" s="7"/>
      <c r="U59" s="7"/>
      <c r="V59" s="7"/>
    </row>
    <row r="60" ht="14.25" customHeight="1">
      <c r="A60" s="4">
        <v>20138.0</v>
      </c>
      <c r="B60" s="11">
        <v>45714.0</v>
      </c>
      <c r="C60" s="4" t="s">
        <v>82</v>
      </c>
      <c r="D60" s="4" t="s">
        <v>52</v>
      </c>
      <c r="E60" s="4" t="s">
        <v>47</v>
      </c>
      <c r="F60" s="4" t="s">
        <v>103</v>
      </c>
      <c r="G60" s="4">
        <v>1.0</v>
      </c>
      <c r="H60" s="13">
        <v>787.0</v>
      </c>
      <c r="I60" s="13">
        <v>787.0</v>
      </c>
      <c r="J60" s="4">
        <v>0.0</v>
      </c>
      <c r="K60" s="13">
        <v>0.0</v>
      </c>
      <c r="L60" s="13">
        <v>787.0</v>
      </c>
      <c r="M60" s="4" t="s">
        <v>61</v>
      </c>
      <c r="N60" s="4" t="s">
        <v>62</v>
      </c>
      <c r="O60" s="4" t="s">
        <v>57</v>
      </c>
      <c r="P60" s="7"/>
      <c r="Q60" s="7"/>
      <c r="R60" s="7"/>
      <c r="S60" s="7"/>
      <c r="T60" s="7"/>
      <c r="U60" s="7"/>
      <c r="V60" s="7"/>
    </row>
    <row r="61" ht="14.25" customHeight="1">
      <c r="A61" s="4">
        <v>20298.0</v>
      </c>
      <c r="B61" s="11">
        <v>45717.0</v>
      </c>
      <c r="C61" s="4" t="s">
        <v>89</v>
      </c>
      <c r="D61" s="4" t="s">
        <v>46</v>
      </c>
      <c r="E61" s="4" t="s">
        <v>59</v>
      </c>
      <c r="F61" s="4" t="s">
        <v>86</v>
      </c>
      <c r="G61" s="4">
        <v>8.0</v>
      </c>
      <c r="H61" s="13">
        <v>338.0</v>
      </c>
      <c r="I61" s="13">
        <v>2704.0</v>
      </c>
      <c r="J61" s="4">
        <v>0.0</v>
      </c>
      <c r="K61" s="13">
        <v>0.0</v>
      </c>
      <c r="L61" s="13">
        <v>2704.0</v>
      </c>
      <c r="M61" s="4" t="s">
        <v>55</v>
      </c>
      <c r="N61" s="4" t="s">
        <v>43</v>
      </c>
      <c r="O61" s="4" t="s">
        <v>44</v>
      </c>
      <c r="P61" s="7"/>
      <c r="Q61" s="7"/>
      <c r="R61" s="7"/>
      <c r="S61" s="7"/>
      <c r="T61" s="7"/>
      <c r="U61" s="7"/>
      <c r="V61" s="7"/>
    </row>
    <row r="62" ht="14.25" customHeight="1">
      <c r="A62" s="4">
        <v>20335.0</v>
      </c>
      <c r="B62" s="11">
        <v>45717.0</v>
      </c>
      <c r="C62" s="4" t="s">
        <v>58</v>
      </c>
      <c r="D62" s="4" t="s">
        <v>25</v>
      </c>
      <c r="E62" s="4" t="s">
        <v>26</v>
      </c>
      <c r="F62" s="4" t="s">
        <v>104</v>
      </c>
      <c r="G62" s="4">
        <v>14.0</v>
      </c>
      <c r="H62" s="13">
        <v>261.0</v>
      </c>
      <c r="I62" s="13">
        <v>3654.0</v>
      </c>
      <c r="J62" s="4">
        <v>0.0</v>
      </c>
      <c r="K62" s="13">
        <v>0.0</v>
      </c>
      <c r="L62" s="13">
        <v>3654.0</v>
      </c>
      <c r="M62" s="4" t="s">
        <v>42</v>
      </c>
      <c r="N62" s="4" t="s">
        <v>56</v>
      </c>
      <c r="O62" s="4" t="s">
        <v>44</v>
      </c>
      <c r="P62" s="7"/>
      <c r="Q62" s="7"/>
      <c r="R62" s="7"/>
      <c r="S62" s="7"/>
      <c r="T62" s="7"/>
      <c r="U62" s="7"/>
      <c r="V62" s="7"/>
    </row>
    <row r="63" ht="14.25" customHeight="1">
      <c r="A63" s="4">
        <v>20200.0</v>
      </c>
      <c r="B63" s="11">
        <v>45718.0</v>
      </c>
      <c r="C63" s="4" t="s">
        <v>82</v>
      </c>
      <c r="D63" s="4" t="s">
        <v>52</v>
      </c>
      <c r="E63" s="4" t="s">
        <v>77</v>
      </c>
      <c r="F63" s="4" t="s">
        <v>105</v>
      </c>
      <c r="G63" s="4">
        <v>10.0</v>
      </c>
      <c r="H63" s="13">
        <v>4149.0</v>
      </c>
      <c r="I63" s="13">
        <v>41490.0</v>
      </c>
      <c r="J63" s="4">
        <v>20.0</v>
      </c>
      <c r="K63" s="13">
        <v>8298.0</v>
      </c>
      <c r="L63" s="13">
        <v>33192.0</v>
      </c>
      <c r="M63" s="4" t="s">
        <v>96</v>
      </c>
      <c r="N63" s="4" t="s">
        <v>43</v>
      </c>
      <c r="O63" s="4" t="s">
        <v>44</v>
      </c>
      <c r="P63" s="7"/>
      <c r="Q63" s="7"/>
      <c r="R63" s="7"/>
      <c r="S63" s="7"/>
      <c r="T63" s="7"/>
      <c r="U63" s="7"/>
      <c r="V63" s="7"/>
    </row>
    <row r="64" ht="14.25" customHeight="1">
      <c r="A64" s="4">
        <v>20395.0</v>
      </c>
      <c r="B64" s="11">
        <v>45718.0</v>
      </c>
      <c r="C64" s="4" t="s">
        <v>63</v>
      </c>
      <c r="D64" s="4" t="s">
        <v>64</v>
      </c>
      <c r="E64" s="4" t="s">
        <v>59</v>
      </c>
      <c r="F64" s="4" t="s">
        <v>60</v>
      </c>
      <c r="G64" s="4">
        <v>2.0</v>
      </c>
      <c r="H64" s="13">
        <v>233.0</v>
      </c>
      <c r="I64" s="13">
        <v>466.0</v>
      </c>
      <c r="J64" s="4">
        <v>10.0</v>
      </c>
      <c r="K64" s="13">
        <v>47.0</v>
      </c>
      <c r="L64" s="13">
        <v>419.0</v>
      </c>
      <c r="M64" s="4" t="s">
        <v>81</v>
      </c>
      <c r="N64" s="4" t="s">
        <v>50</v>
      </c>
      <c r="O64" s="4" t="s">
        <v>44</v>
      </c>
      <c r="P64" s="7"/>
      <c r="Q64" s="7"/>
      <c r="R64" s="7"/>
      <c r="S64" s="7"/>
      <c r="T64" s="7"/>
      <c r="U64" s="7"/>
      <c r="V64" s="7"/>
    </row>
    <row r="65" ht="14.25" customHeight="1">
      <c r="A65" s="4">
        <v>20144.0</v>
      </c>
      <c r="B65" s="11">
        <v>45721.0</v>
      </c>
      <c r="C65" s="4" t="s">
        <v>45</v>
      </c>
      <c r="D65" s="4" t="s">
        <v>46</v>
      </c>
      <c r="E65" s="4" t="s">
        <v>59</v>
      </c>
      <c r="F65" s="4" t="s">
        <v>86</v>
      </c>
      <c r="G65" s="4">
        <v>12.0</v>
      </c>
      <c r="H65" s="13">
        <v>233.0</v>
      </c>
      <c r="I65" s="13">
        <v>2796.0</v>
      </c>
      <c r="J65" s="4">
        <v>5.0</v>
      </c>
      <c r="K65" s="13">
        <v>140.0</v>
      </c>
      <c r="L65" s="13">
        <v>2656.0</v>
      </c>
      <c r="M65" s="4" t="s">
        <v>42</v>
      </c>
      <c r="N65" s="4" t="s">
        <v>72</v>
      </c>
      <c r="O65" s="4" t="s">
        <v>57</v>
      </c>
      <c r="P65" s="7"/>
      <c r="Q65" s="7"/>
      <c r="R65" s="7"/>
      <c r="S65" s="7"/>
      <c r="T65" s="7"/>
      <c r="U65" s="7"/>
      <c r="V65" s="7"/>
    </row>
    <row r="66" ht="14.25" customHeight="1">
      <c r="A66" s="4">
        <v>20248.0</v>
      </c>
      <c r="B66" s="11">
        <v>45721.0</v>
      </c>
      <c r="C66" s="4" t="s">
        <v>80</v>
      </c>
      <c r="D66" s="4" t="s">
        <v>64</v>
      </c>
      <c r="E66" s="4" t="s">
        <v>59</v>
      </c>
      <c r="F66" s="4" t="s">
        <v>86</v>
      </c>
      <c r="G66" s="4">
        <v>1.0</v>
      </c>
      <c r="H66" s="13">
        <v>127.0</v>
      </c>
      <c r="I66" s="13">
        <v>127.0</v>
      </c>
      <c r="J66" s="4">
        <v>0.0</v>
      </c>
      <c r="K66" s="13">
        <v>0.0</v>
      </c>
      <c r="L66" s="13">
        <v>127.0</v>
      </c>
      <c r="M66" s="4" t="s">
        <v>96</v>
      </c>
      <c r="N66" s="4" t="s">
        <v>62</v>
      </c>
      <c r="O66" s="4" t="s">
        <v>57</v>
      </c>
      <c r="P66" s="7"/>
      <c r="Q66" s="7"/>
      <c r="R66" s="7"/>
      <c r="S66" s="7"/>
      <c r="T66" s="7"/>
      <c r="U66" s="7"/>
      <c r="V66" s="7"/>
    </row>
    <row r="67" ht="14.25" customHeight="1">
      <c r="A67" s="4">
        <v>20369.0</v>
      </c>
      <c r="B67" s="11">
        <v>45721.0</v>
      </c>
      <c r="C67" s="4" t="s">
        <v>93</v>
      </c>
      <c r="D67" s="4" t="s">
        <v>25</v>
      </c>
      <c r="E67" s="4" t="s">
        <v>26</v>
      </c>
      <c r="F67" s="4" t="s">
        <v>70</v>
      </c>
      <c r="G67" s="4">
        <v>10.0</v>
      </c>
      <c r="H67" s="13">
        <v>523.0</v>
      </c>
      <c r="I67" s="13">
        <v>5230.0</v>
      </c>
      <c r="J67" s="4">
        <v>0.0</v>
      </c>
      <c r="K67" s="13">
        <v>0.0</v>
      </c>
      <c r="L67" s="13">
        <v>5230.0</v>
      </c>
      <c r="M67" s="4" t="s">
        <v>55</v>
      </c>
      <c r="N67" s="4" t="s">
        <v>50</v>
      </c>
      <c r="O67" s="4" t="s">
        <v>44</v>
      </c>
      <c r="P67" s="7"/>
      <c r="Q67" s="7"/>
      <c r="R67" s="7"/>
      <c r="S67" s="7"/>
      <c r="T67" s="7"/>
      <c r="U67" s="7"/>
      <c r="V67" s="7"/>
    </row>
    <row r="68" ht="14.25" customHeight="1">
      <c r="A68" s="4">
        <v>20166.0</v>
      </c>
      <c r="B68" s="11">
        <v>45723.0</v>
      </c>
      <c r="C68" s="4" t="s">
        <v>58</v>
      </c>
      <c r="D68" s="4" t="s">
        <v>25</v>
      </c>
      <c r="E68" s="4" t="s">
        <v>59</v>
      </c>
      <c r="F68" s="4" t="s">
        <v>85</v>
      </c>
      <c r="G68" s="4">
        <v>13.0</v>
      </c>
      <c r="H68" s="13">
        <v>446.0</v>
      </c>
      <c r="I68" s="13">
        <v>5798.0</v>
      </c>
      <c r="J68" s="4">
        <v>0.0</v>
      </c>
      <c r="K68" s="13">
        <v>0.0</v>
      </c>
      <c r="L68" s="13">
        <v>5798.0</v>
      </c>
      <c r="M68" s="4" t="s">
        <v>49</v>
      </c>
      <c r="N68" s="4" t="s">
        <v>56</v>
      </c>
      <c r="O68" s="4" t="s">
        <v>44</v>
      </c>
      <c r="P68" s="7"/>
      <c r="Q68" s="7"/>
      <c r="R68" s="7"/>
      <c r="S68" s="7"/>
      <c r="T68" s="7"/>
      <c r="U68" s="7"/>
      <c r="V68" s="7"/>
    </row>
    <row r="69" ht="14.25" customHeight="1">
      <c r="A69" s="4">
        <v>20349.0</v>
      </c>
      <c r="B69" s="11">
        <v>45723.0</v>
      </c>
      <c r="C69" s="4" t="s">
        <v>58</v>
      </c>
      <c r="D69" s="4" t="s">
        <v>25</v>
      </c>
      <c r="E69" s="4" t="s">
        <v>59</v>
      </c>
      <c r="F69" s="4" t="s">
        <v>83</v>
      </c>
      <c r="G69" s="4">
        <v>10.0</v>
      </c>
      <c r="H69" s="13">
        <v>274.0</v>
      </c>
      <c r="I69" s="13">
        <v>2740.0</v>
      </c>
      <c r="J69" s="4">
        <v>0.0</v>
      </c>
      <c r="K69" s="13">
        <v>0.0</v>
      </c>
      <c r="L69" s="13">
        <v>2740.0</v>
      </c>
      <c r="M69" s="4" t="s">
        <v>61</v>
      </c>
      <c r="N69" s="4" t="s">
        <v>72</v>
      </c>
      <c r="O69" s="4" t="s">
        <v>44</v>
      </c>
      <c r="P69" s="7"/>
      <c r="Q69" s="7"/>
      <c r="R69" s="7"/>
      <c r="S69" s="7"/>
      <c r="T69" s="7"/>
      <c r="U69" s="7"/>
      <c r="V69" s="7"/>
    </row>
    <row r="70" ht="14.25" customHeight="1">
      <c r="A70" s="4">
        <v>20155.0</v>
      </c>
      <c r="B70" s="11">
        <v>45724.0</v>
      </c>
      <c r="C70" s="4" t="s">
        <v>24</v>
      </c>
      <c r="D70" s="4" t="s">
        <v>52</v>
      </c>
      <c r="E70" s="4" t="s">
        <v>47</v>
      </c>
      <c r="F70" s="4" t="s">
        <v>91</v>
      </c>
      <c r="G70" s="4">
        <v>14.0</v>
      </c>
      <c r="H70" s="13">
        <v>873.0</v>
      </c>
      <c r="I70" s="13">
        <v>12222.0</v>
      </c>
      <c r="J70" s="4">
        <v>0.0</v>
      </c>
      <c r="K70" s="13">
        <v>0.0</v>
      </c>
      <c r="L70" s="13">
        <v>12222.0</v>
      </c>
      <c r="M70" s="4" t="s">
        <v>55</v>
      </c>
      <c r="N70" s="4" t="s">
        <v>50</v>
      </c>
      <c r="O70" s="4" t="s">
        <v>44</v>
      </c>
      <c r="P70" s="7"/>
      <c r="Q70" s="7"/>
      <c r="R70" s="7"/>
      <c r="S70" s="7"/>
      <c r="T70" s="7"/>
      <c r="U70" s="7"/>
      <c r="V70" s="7"/>
    </row>
    <row r="71" ht="14.25" customHeight="1">
      <c r="A71" s="4">
        <v>20277.0</v>
      </c>
      <c r="B71" s="11">
        <v>45724.0</v>
      </c>
      <c r="C71" s="4" t="s">
        <v>99</v>
      </c>
      <c r="D71" s="4" t="s">
        <v>64</v>
      </c>
      <c r="E71" s="4" t="s">
        <v>59</v>
      </c>
      <c r="F71" s="4" t="s">
        <v>85</v>
      </c>
      <c r="G71" s="4">
        <v>11.0</v>
      </c>
      <c r="H71" s="13">
        <v>192.0</v>
      </c>
      <c r="I71" s="13">
        <v>2112.0</v>
      </c>
      <c r="J71" s="4">
        <v>0.0</v>
      </c>
      <c r="K71" s="13">
        <v>0.0</v>
      </c>
      <c r="L71" s="13">
        <v>2112.0</v>
      </c>
      <c r="M71" s="4" t="s">
        <v>71</v>
      </c>
      <c r="N71" s="4" t="s">
        <v>50</v>
      </c>
      <c r="O71" s="4" t="s">
        <v>57</v>
      </c>
      <c r="P71" s="7"/>
      <c r="Q71" s="7"/>
      <c r="R71" s="7"/>
      <c r="S71" s="7"/>
      <c r="T71" s="7"/>
      <c r="U71" s="7"/>
      <c r="V71" s="7"/>
    </row>
    <row r="72" ht="14.25" customHeight="1">
      <c r="A72" s="4">
        <v>20324.0</v>
      </c>
      <c r="B72" s="11">
        <v>45724.0</v>
      </c>
      <c r="C72" s="4" t="s">
        <v>24</v>
      </c>
      <c r="D72" s="4" t="s">
        <v>52</v>
      </c>
      <c r="E72" s="4" t="s">
        <v>59</v>
      </c>
      <c r="F72" s="4" t="s">
        <v>86</v>
      </c>
      <c r="G72" s="4">
        <v>7.0</v>
      </c>
      <c r="H72" s="13">
        <v>79.0</v>
      </c>
      <c r="I72" s="13">
        <v>553.0</v>
      </c>
      <c r="J72" s="4">
        <v>0.0</v>
      </c>
      <c r="K72" s="13">
        <v>0.0</v>
      </c>
      <c r="L72" s="13">
        <v>553.0</v>
      </c>
      <c r="M72" s="4" t="s">
        <v>55</v>
      </c>
      <c r="N72" s="4" t="s">
        <v>62</v>
      </c>
      <c r="O72" s="4" t="s">
        <v>44</v>
      </c>
      <c r="P72" s="7"/>
      <c r="Q72" s="7"/>
      <c r="R72" s="7"/>
      <c r="S72" s="7"/>
      <c r="T72" s="7"/>
      <c r="U72" s="7"/>
      <c r="V72" s="7"/>
    </row>
    <row r="73" ht="14.25" customHeight="1">
      <c r="A73" s="4">
        <v>20257.0</v>
      </c>
      <c r="B73" s="11">
        <v>45725.0</v>
      </c>
      <c r="C73" s="4" t="s">
        <v>51</v>
      </c>
      <c r="D73" s="4" t="s">
        <v>52</v>
      </c>
      <c r="E73" s="4" t="s">
        <v>47</v>
      </c>
      <c r="F73" s="4" t="s">
        <v>27</v>
      </c>
      <c r="G73" s="4">
        <v>6.0</v>
      </c>
      <c r="H73" s="13">
        <v>267.0</v>
      </c>
      <c r="I73" s="13">
        <v>1602.0</v>
      </c>
      <c r="J73" s="4">
        <v>10.0</v>
      </c>
      <c r="K73" s="13">
        <v>160.0</v>
      </c>
      <c r="L73" s="13">
        <v>1442.0</v>
      </c>
      <c r="M73" s="4" t="s">
        <v>71</v>
      </c>
      <c r="N73" s="4" t="s">
        <v>62</v>
      </c>
      <c r="O73" s="4" t="s">
        <v>44</v>
      </c>
      <c r="P73" s="7"/>
      <c r="Q73" s="7"/>
      <c r="R73" s="7"/>
      <c r="S73" s="7"/>
      <c r="T73" s="7"/>
      <c r="U73" s="7"/>
      <c r="V73" s="7"/>
    </row>
    <row r="74" ht="14.25" customHeight="1">
      <c r="A74" s="4">
        <v>20235.0</v>
      </c>
      <c r="B74" s="11">
        <v>45726.0</v>
      </c>
      <c r="C74" s="4" t="s">
        <v>84</v>
      </c>
      <c r="D74" s="4" t="s">
        <v>46</v>
      </c>
      <c r="E74" s="4" t="s">
        <v>26</v>
      </c>
      <c r="F74" s="4" t="s">
        <v>100</v>
      </c>
      <c r="G74" s="4">
        <v>5.0</v>
      </c>
      <c r="H74" s="13">
        <v>239.0</v>
      </c>
      <c r="I74" s="13">
        <v>1195.0</v>
      </c>
      <c r="J74" s="4">
        <v>10.0</v>
      </c>
      <c r="K74" s="13">
        <v>120.0</v>
      </c>
      <c r="L74" s="13">
        <v>1075.0</v>
      </c>
      <c r="M74" s="4" t="s">
        <v>61</v>
      </c>
      <c r="N74" s="4" t="s">
        <v>43</v>
      </c>
      <c r="O74" s="4" t="s">
        <v>57</v>
      </c>
      <c r="P74" s="7"/>
      <c r="Q74" s="7"/>
      <c r="R74" s="7"/>
      <c r="S74" s="7"/>
      <c r="T74" s="7"/>
      <c r="U74" s="7"/>
      <c r="V74" s="7"/>
    </row>
    <row r="75" ht="14.25" customHeight="1">
      <c r="A75" s="4">
        <v>20190.0</v>
      </c>
      <c r="B75" s="11">
        <v>45727.0</v>
      </c>
      <c r="C75" s="4" t="s">
        <v>24</v>
      </c>
      <c r="D75" s="4" t="s">
        <v>52</v>
      </c>
      <c r="E75" s="4" t="s">
        <v>53</v>
      </c>
      <c r="F75" s="4" t="s">
        <v>48</v>
      </c>
      <c r="G75" s="4">
        <v>8.0</v>
      </c>
      <c r="H75" s="13">
        <v>463.0</v>
      </c>
      <c r="I75" s="13">
        <v>3704.0</v>
      </c>
      <c r="J75" s="4">
        <v>0.0</v>
      </c>
      <c r="K75" s="13">
        <v>0.0</v>
      </c>
      <c r="L75" s="13">
        <v>3704.0</v>
      </c>
      <c r="M75" s="4" t="s">
        <v>55</v>
      </c>
      <c r="N75" s="4" t="s">
        <v>62</v>
      </c>
      <c r="O75" s="4" t="s">
        <v>69</v>
      </c>
      <c r="P75" s="7"/>
      <c r="Q75" s="7"/>
      <c r="R75" s="7"/>
      <c r="S75" s="7"/>
      <c r="T75" s="7"/>
      <c r="U75" s="7"/>
      <c r="V75" s="7"/>
    </row>
    <row r="76" ht="14.25" customHeight="1">
      <c r="A76" s="4">
        <v>20236.0</v>
      </c>
      <c r="B76" s="11">
        <v>45728.0</v>
      </c>
      <c r="C76" s="4" t="s">
        <v>51</v>
      </c>
      <c r="D76" s="4" t="s">
        <v>52</v>
      </c>
      <c r="E76" s="4" t="s">
        <v>59</v>
      </c>
      <c r="F76" s="4" t="s">
        <v>60</v>
      </c>
      <c r="G76" s="4">
        <v>8.0</v>
      </c>
      <c r="H76" s="13">
        <v>310.0</v>
      </c>
      <c r="I76" s="13">
        <v>2480.0</v>
      </c>
      <c r="J76" s="4">
        <v>0.0</v>
      </c>
      <c r="K76" s="13">
        <v>0.0</v>
      </c>
      <c r="L76" s="13">
        <v>2480.0</v>
      </c>
      <c r="M76" s="4" t="s">
        <v>68</v>
      </c>
      <c r="N76" s="4" t="s">
        <v>72</v>
      </c>
      <c r="O76" s="4" t="s">
        <v>44</v>
      </c>
      <c r="P76" s="7"/>
      <c r="Q76" s="7"/>
      <c r="R76" s="7"/>
      <c r="S76" s="7"/>
      <c r="T76" s="7"/>
      <c r="U76" s="7"/>
      <c r="V76" s="7"/>
    </row>
    <row r="77" ht="14.25" customHeight="1">
      <c r="A77" s="4">
        <v>20160.0</v>
      </c>
      <c r="B77" s="11">
        <v>45731.0</v>
      </c>
      <c r="C77" s="4" t="s">
        <v>84</v>
      </c>
      <c r="D77" s="4" t="s">
        <v>46</v>
      </c>
      <c r="E77" s="4" t="s">
        <v>53</v>
      </c>
      <c r="F77" s="4" t="s">
        <v>98</v>
      </c>
      <c r="G77" s="4">
        <v>14.0</v>
      </c>
      <c r="H77" s="13">
        <v>566.0</v>
      </c>
      <c r="I77" s="13">
        <v>7924.0</v>
      </c>
      <c r="J77" s="4">
        <v>10.0</v>
      </c>
      <c r="K77" s="13">
        <v>792.0</v>
      </c>
      <c r="L77" s="13">
        <v>7132.0</v>
      </c>
      <c r="M77" s="4" t="s">
        <v>87</v>
      </c>
      <c r="N77" s="4" t="s">
        <v>62</v>
      </c>
      <c r="O77" s="4" t="s">
        <v>44</v>
      </c>
      <c r="P77" s="7"/>
      <c r="Q77" s="7"/>
      <c r="R77" s="7"/>
      <c r="S77" s="7"/>
      <c r="T77" s="7"/>
      <c r="U77" s="7"/>
      <c r="V77" s="7"/>
    </row>
    <row r="78" ht="14.25" customHeight="1">
      <c r="A78" s="4">
        <v>20031.0</v>
      </c>
      <c r="B78" s="11">
        <v>45734.0</v>
      </c>
      <c r="C78" s="4" t="s">
        <v>93</v>
      </c>
      <c r="D78" s="4" t="s">
        <v>25</v>
      </c>
      <c r="E78" s="4" t="s">
        <v>53</v>
      </c>
      <c r="F78" s="4" t="s">
        <v>54</v>
      </c>
      <c r="G78" s="4">
        <v>9.0</v>
      </c>
      <c r="H78" s="13">
        <v>560.0</v>
      </c>
      <c r="I78" s="13">
        <v>5040.0</v>
      </c>
      <c r="J78" s="4">
        <v>0.0</v>
      </c>
      <c r="K78" s="13">
        <v>0.0</v>
      </c>
      <c r="L78" s="13">
        <v>5040.0</v>
      </c>
      <c r="M78" s="4" t="s">
        <v>81</v>
      </c>
      <c r="N78" s="4" t="s">
        <v>72</v>
      </c>
      <c r="O78" s="4" t="s">
        <v>69</v>
      </c>
      <c r="P78" s="7"/>
      <c r="Q78" s="7"/>
      <c r="R78" s="7"/>
      <c r="S78" s="7"/>
      <c r="T78" s="7"/>
      <c r="U78" s="7"/>
      <c r="V78" s="7"/>
    </row>
    <row r="79" ht="14.25" customHeight="1">
      <c r="A79" s="4">
        <v>20377.0</v>
      </c>
      <c r="B79" s="11">
        <v>45734.0</v>
      </c>
      <c r="C79" s="4" t="s">
        <v>45</v>
      </c>
      <c r="D79" s="4" t="s">
        <v>46</v>
      </c>
      <c r="E79" s="4" t="s">
        <v>59</v>
      </c>
      <c r="F79" s="4" t="s">
        <v>60</v>
      </c>
      <c r="G79" s="4">
        <v>15.0</v>
      </c>
      <c r="H79" s="13">
        <v>316.0</v>
      </c>
      <c r="I79" s="13">
        <v>4740.0</v>
      </c>
      <c r="J79" s="4">
        <v>0.0</v>
      </c>
      <c r="K79" s="13">
        <v>0.0</v>
      </c>
      <c r="L79" s="13">
        <v>4740.0</v>
      </c>
      <c r="M79" s="4" t="s">
        <v>61</v>
      </c>
      <c r="N79" s="4" t="s">
        <v>72</v>
      </c>
      <c r="O79" s="4" t="s">
        <v>57</v>
      </c>
      <c r="P79" s="7"/>
      <c r="Q79" s="7"/>
      <c r="R79" s="7"/>
      <c r="S79" s="7"/>
      <c r="T79" s="7"/>
      <c r="U79" s="7"/>
      <c r="V79" s="7"/>
    </row>
    <row r="80" ht="14.25" customHeight="1">
      <c r="A80" s="4">
        <v>20413.0</v>
      </c>
      <c r="B80" s="11">
        <v>45734.0</v>
      </c>
      <c r="C80" s="4" t="s">
        <v>82</v>
      </c>
      <c r="D80" s="4" t="s">
        <v>52</v>
      </c>
      <c r="E80" s="4" t="s">
        <v>26</v>
      </c>
      <c r="F80" s="4" t="s">
        <v>100</v>
      </c>
      <c r="G80" s="4">
        <v>7.0</v>
      </c>
      <c r="H80" s="13">
        <v>631.0</v>
      </c>
      <c r="I80" s="13">
        <v>4417.0</v>
      </c>
      <c r="J80" s="4">
        <v>15.0</v>
      </c>
      <c r="K80" s="13">
        <v>663.0</v>
      </c>
      <c r="L80" s="13">
        <v>3754.0</v>
      </c>
      <c r="M80" s="4" t="s">
        <v>55</v>
      </c>
      <c r="N80" s="4" t="s">
        <v>43</v>
      </c>
      <c r="O80" s="4" t="s">
        <v>44</v>
      </c>
      <c r="P80" s="7"/>
      <c r="Q80" s="7"/>
      <c r="R80" s="7"/>
      <c r="S80" s="7"/>
      <c r="T80" s="7"/>
      <c r="U80" s="7"/>
      <c r="V80" s="7"/>
    </row>
    <row r="81" ht="14.25" customHeight="1">
      <c r="A81" s="4">
        <v>20057.0</v>
      </c>
      <c r="B81" s="11">
        <v>45736.0</v>
      </c>
      <c r="C81" s="4" t="s">
        <v>24</v>
      </c>
      <c r="D81" s="4" t="s">
        <v>52</v>
      </c>
      <c r="E81" s="4" t="s">
        <v>77</v>
      </c>
      <c r="F81" s="4" t="s">
        <v>105</v>
      </c>
      <c r="G81" s="4">
        <v>9.0</v>
      </c>
      <c r="H81" s="13">
        <v>5945.0</v>
      </c>
      <c r="I81" s="13">
        <v>53505.0</v>
      </c>
      <c r="J81" s="4">
        <v>5.0</v>
      </c>
      <c r="K81" s="13">
        <v>2675.0</v>
      </c>
      <c r="L81" s="13">
        <v>50830.0</v>
      </c>
      <c r="M81" s="4" t="s">
        <v>49</v>
      </c>
      <c r="N81" s="4" t="s">
        <v>72</v>
      </c>
      <c r="O81" s="4" t="s">
        <v>44</v>
      </c>
      <c r="P81" s="7"/>
      <c r="Q81" s="7"/>
      <c r="R81" s="7"/>
      <c r="S81" s="7"/>
      <c r="T81" s="7"/>
      <c r="U81" s="7"/>
      <c r="V81" s="7"/>
    </row>
    <row r="82" ht="14.25" customHeight="1">
      <c r="A82" s="4">
        <v>20330.0</v>
      </c>
      <c r="B82" s="11">
        <v>45736.0</v>
      </c>
      <c r="C82" s="4" t="s">
        <v>99</v>
      </c>
      <c r="D82" s="4" t="s">
        <v>64</v>
      </c>
      <c r="E82" s="4" t="s">
        <v>26</v>
      </c>
      <c r="F82" s="4" t="s">
        <v>74</v>
      </c>
      <c r="G82" s="4">
        <v>7.0</v>
      </c>
      <c r="H82" s="13">
        <v>223.0</v>
      </c>
      <c r="I82" s="13">
        <v>1561.0</v>
      </c>
      <c r="J82" s="4">
        <v>5.0</v>
      </c>
      <c r="K82" s="13">
        <v>78.0</v>
      </c>
      <c r="L82" s="13">
        <v>1483.0</v>
      </c>
      <c r="M82" s="4" t="s">
        <v>71</v>
      </c>
      <c r="N82" s="4" t="s">
        <v>56</v>
      </c>
      <c r="O82" s="4" t="s">
        <v>57</v>
      </c>
      <c r="P82" s="7"/>
      <c r="Q82" s="7"/>
      <c r="R82" s="7"/>
      <c r="S82" s="7"/>
      <c r="T82" s="7"/>
      <c r="U82" s="7"/>
      <c r="V82" s="7"/>
    </row>
    <row r="83" ht="14.25" customHeight="1">
      <c r="A83" s="4">
        <v>20152.0</v>
      </c>
      <c r="B83" s="11">
        <v>45738.0</v>
      </c>
      <c r="C83" s="4" t="s">
        <v>80</v>
      </c>
      <c r="D83" s="4" t="s">
        <v>64</v>
      </c>
      <c r="E83" s="4" t="s">
        <v>53</v>
      </c>
      <c r="F83" s="4" t="s">
        <v>54</v>
      </c>
      <c r="G83" s="4">
        <v>4.0</v>
      </c>
      <c r="H83" s="13">
        <v>583.0</v>
      </c>
      <c r="I83" s="13">
        <v>2332.0</v>
      </c>
      <c r="J83" s="4">
        <v>0.0</v>
      </c>
      <c r="K83" s="13">
        <v>0.0</v>
      </c>
      <c r="L83" s="13">
        <v>2332.0</v>
      </c>
      <c r="M83" s="4" t="s">
        <v>55</v>
      </c>
      <c r="N83" s="4" t="s">
        <v>56</v>
      </c>
      <c r="O83" s="4" t="s">
        <v>57</v>
      </c>
      <c r="P83" s="7"/>
      <c r="Q83" s="7"/>
      <c r="R83" s="7"/>
      <c r="S83" s="7"/>
      <c r="T83" s="7"/>
      <c r="U83" s="7"/>
      <c r="V83" s="7"/>
    </row>
    <row r="84" ht="14.25" customHeight="1">
      <c r="A84" s="4">
        <v>20264.0</v>
      </c>
      <c r="B84" s="11">
        <v>45738.0</v>
      </c>
      <c r="C84" s="4" t="s">
        <v>66</v>
      </c>
      <c r="D84" s="4" t="s">
        <v>46</v>
      </c>
      <c r="E84" s="4" t="s">
        <v>26</v>
      </c>
      <c r="F84" s="4" t="s">
        <v>70</v>
      </c>
      <c r="G84" s="4">
        <v>11.0</v>
      </c>
      <c r="H84" s="13">
        <v>238.0</v>
      </c>
      <c r="I84" s="13">
        <v>2618.0</v>
      </c>
      <c r="J84" s="4">
        <v>0.0</v>
      </c>
      <c r="K84" s="13">
        <v>0.0</v>
      </c>
      <c r="L84" s="13">
        <v>2618.0</v>
      </c>
      <c r="M84" s="4" t="s">
        <v>81</v>
      </c>
      <c r="N84" s="4" t="s">
        <v>50</v>
      </c>
      <c r="O84" s="4" t="s">
        <v>69</v>
      </c>
      <c r="P84" s="7"/>
      <c r="Q84" s="7"/>
      <c r="R84" s="7"/>
      <c r="S84" s="7"/>
      <c r="T84" s="7"/>
      <c r="U84" s="7"/>
      <c r="V84" s="7"/>
    </row>
    <row r="85" ht="14.25" customHeight="1">
      <c r="A85" s="4">
        <v>20162.0</v>
      </c>
      <c r="B85" s="11">
        <v>45739.0</v>
      </c>
      <c r="C85" s="4" t="s">
        <v>84</v>
      </c>
      <c r="D85" s="4" t="s">
        <v>46</v>
      </c>
      <c r="E85" s="4" t="s">
        <v>47</v>
      </c>
      <c r="F85" s="4" t="s">
        <v>67</v>
      </c>
      <c r="G85" s="4">
        <v>4.0</v>
      </c>
      <c r="H85" s="13">
        <v>2241.0</v>
      </c>
      <c r="I85" s="13">
        <v>8964.0</v>
      </c>
      <c r="J85" s="4">
        <v>0.0</v>
      </c>
      <c r="K85" s="13">
        <v>0.0</v>
      </c>
      <c r="L85" s="13">
        <v>8964.0</v>
      </c>
      <c r="M85" s="4" t="s">
        <v>42</v>
      </c>
      <c r="N85" s="4" t="s">
        <v>62</v>
      </c>
      <c r="O85" s="4" t="s">
        <v>69</v>
      </c>
      <c r="P85" s="7"/>
      <c r="Q85" s="7"/>
      <c r="R85" s="7"/>
      <c r="S85" s="7"/>
      <c r="T85" s="7"/>
      <c r="U85" s="7"/>
      <c r="V85" s="7"/>
    </row>
    <row r="86" ht="14.25" customHeight="1">
      <c r="A86" s="4">
        <v>20184.0</v>
      </c>
      <c r="B86" s="11">
        <v>45739.0</v>
      </c>
      <c r="C86" s="4" t="s">
        <v>51</v>
      </c>
      <c r="D86" s="4" t="s">
        <v>52</v>
      </c>
      <c r="E86" s="4" t="s">
        <v>47</v>
      </c>
      <c r="F86" s="4" t="s">
        <v>67</v>
      </c>
      <c r="G86" s="4">
        <v>12.0</v>
      </c>
      <c r="H86" s="13">
        <v>1103.0</v>
      </c>
      <c r="I86" s="13">
        <v>13236.0</v>
      </c>
      <c r="J86" s="4">
        <v>0.0</v>
      </c>
      <c r="K86" s="13">
        <v>0.0</v>
      </c>
      <c r="L86" s="13">
        <v>13236.0</v>
      </c>
      <c r="M86" s="4" t="s">
        <v>68</v>
      </c>
      <c r="N86" s="4" t="s">
        <v>43</v>
      </c>
      <c r="O86" s="4" t="s">
        <v>69</v>
      </c>
      <c r="P86" s="7"/>
      <c r="Q86" s="7"/>
      <c r="R86" s="7"/>
      <c r="S86" s="7"/>
      <c r="T86" s="7"/>
      <c r="U86" s="7"/>
      <c r="V86" s="7"/>
    </row>
    <row r="87" ht="14.25" customHeight="1">
      <c r="A87" s="4">
        <v>20309.0</v>
      </c>
      <c r="B87" s="11">
        <v>45739.0</v>
      </c>
      <c r="C87" s="4" t="s">
        <v>92</v>
      </c>
      <c r="D87" s="4" t="s">
        <v>25</v>
      </c>
      <c r="E87" s="4" t="s">
        <v>53</v>
      </c>
      <c r="F87" s="4" t="s">
        <v>98</v>
      </c>
      <c r="G87" s="4">
        <v>9.0</v>
      </c>
      <c r="H87" s="13">
        <v>1897.0</v>
      </c>
      <c r="I87" s="13">
        <v>17073.0</v>
      </c>
      <c r="J87" s="4">
        <v>0.0</v>
      </c>
      <c r="K87" s="13">
        <v>0.0</v>
      </c>
      <c r="L87" s="13">
        <v>17073.0</v>
      </c>
      <c r="M87" s="4" t="s">
        <v>106</v>
      </c>
      <c r="N87" s="4" t="s">
        <v>50</v>
      </c>
      <c r="O87" s="4" t="s">
        <v>69</v>
      </c>
      <c r="P87" s="7"/>
      <c r="Q87" s="7"/>
      <c r="R87" s="7"/>
      <c r="S87" s="7"/>
      <c r="T87" s="7"/>
      <c r="U87" s="7"/>
      <c r="V87" s="7"/>
    </row>
    <row r="88" ht="14.25" customHeight="1">
      <c r="A88" s="4">
        <v>20181.0</v>
      </c>
      <c r="B88" s="11">
        <v>45741.0</v>
      </c>
      <c r="C88" s="4" t="s">
        <v>73</v>
      </c>
      <c r="D88" s="4" t="s">
        <v>52</v>
      </c>
      <c r="E88" s="4" t="s">
        <v>53</v>
      </c>
      <c r="F88" s="4" t="s">
        <v>98</v>
      </c>
      <c r="G88" s="4">
        <v>3.0</v>
      </c>
      <c r="H88" s="13">
        <v>989.0</v>
      </c>
      <c r="I88" s="13">
        <v>2967.0</v>
      </c>
      <c r="J88" s="4">
        <v>0.0</v>
      </c>
      <c r="K88" s="13">
        <v>0.0</v>
      </c>
      <c r="L88" s="13">
        <v>2967.0</v>
      </c>
      <c r="M88" s="4" t="s">
        <v>49</v>
      </c>
      <c r="N88" s="4" t="s">
        <v>43</v>
      </c>
      <c r="O88" s="4" t="s">
        <v>44</v>
      </c>
      <c r="P88" s="7"/>
      <c r="Q88" s="7"/>
      <c r="R88" s="7"/>
      <c r="S88" s="7"/>
      <c r="T88" s="7"/>
      <c r="U88" s="7"/>
      <c r="V88" s="7"/>
    </row>
    <row r="89" ht="14.25" customHeight="1">
      <c r="A89" s="4">
        <v>20312.0</v>
      </c>
      <c r="B89" s="11">
        <v>45741.0</v>
      </c>
      <c r="C89" s="4" t="s">
        <v>66</v>
      </c>
      <c r="D89" s="4" t="s">
        <v>46</v>
      </c>
      <c r="E89" s="4" t="s">
        <v>26</v>
      </c>
      <c r="F89" s="4" t="s">
        <v>74</v>
      </c>
      <c r="G89" s="4">
        <v>1.0</v>
      </c>
      <c r="H89" s="13">
        <v>515.0</v>
      </c>
      <c r="I89" s="13">
        <v>515.0</v>
      </c>
      <c r="J89" s="4">
        <v>20.0</v>
      </c>
      <c r="K89" s="13">
        <v>103.0</v>
      </c>
      <c r="L89" s="13">
        <v>412.0</v>
      </c>
      <c r="M89" s="4" t="s">
        <v>106</v>
      </c>
      <c r="N89" s="4" t="s">
        <v>50</v>
      </c>
      <c r="O89" s="4" t="s">
        <v>57</v>
      </c>
      <c r="P89" s="7"/>
      <c r="Q89" s="7"/>
      <c r="R89" s="7"/>
      <c r="S89" s="7"/>
      <c r="T89" s="7"/>
      <c r="U89" s="7"/>
      <c r="V89" s="7"/>
    </row>
    <row r="90" ht="14.25" customHeight="1">
      <c r="A90" s="4">
        <v>20093.0</v>
      </c>
      <c r="B90" s="11">
        <v>45742.0</v>
      </c>
      <c r="C90" s="4" t="s">
        <v>66</v>
      </c>
      <c r="D90" s="4" t="s">
        <v>46</v>
      </c>
      <c r="E90" s="4" t="s">
        <v>59</v>
      </c>
      <c r="F90" s="4" t="s">
        <v>85</v>
      </c>
      <c r="G90" s="4">
        <v>12.0</v>
      </c>
      <c r="H90" s="13">
        <v>299.0</v>
      </c>
      <c r="I90" s="13">
        <v>3588.0</v>
      </c>
      <c r="J90" s="4">
        <v>0.0</v>
      </c>
      <c r="K90" s="13">
        <v>0.0</v>
      </c>
      <c r="L90" s="13">
        <v>3588.0</v>
      </c>
      <c r="M90" s="4" t="s">
        <v>106</v>
      </c>
      <c r="N90" s="4" t="s">
        <v>43</v>
      </c>
      <c r="O90" s="4" t="s">
        <v>57</v>
      </c>
      <c r="P90" s="7"/>
      <c r="Q90" s="7"/>
      <c r="R90" s="7"/>
      <c r="S90" s="7"/>
      <c r="T90" s="7"/>
      <c r="U90" s="7"/>
      <c r="V90" s="7"/>
    </row>
    <row r="91" ht="14.25" customHeight="1">
      <c r="A91" s="4">
        <v>20337.0</v>
      </c>
      <c r="B91" s="11">
        <v>45743.0</v>
      </c>
      <c r="C91" s="4" t="s">
        <v>58</v>
      </c>
      <c r="D91" s="4" t="s">
        <v>25</v>
      </c>
      <c r="E91" s="4" t="s">
        <v>77</v>
      </c>
      <c r="F91" s="4" t="s">
        <v>105</v>
      </c>
      <c r="G91" s="4">
        <v>12.0</v>
      </c>
      <c r="H91" s="13">
        <v>7816.0</v>
      </c>
      <c r="I91" s="13">
        <v>93792.0</v>
      </c>
      <c r="J91" s="4">
        <v>10.0</v>
      </c>
      <c r="K91" s="13">
        <v>9379.0</v>
      </c>
      <c r="L91" s="13">
        <v>84413.0</v>
      </c>
      <c r="M91" s="4" t="s">
        <v>42</v>
      </c>
      <c r="N91" s="4" t="s">
        <v>56</v>
      </c>
      <c r="O91" s="4" t="s">
        <v>57</v>
      </c>
      <c r="P91" s="7"/>
      <c r="Q91" s="7"/>
      <c r="R91" s="7"/>
      <c r="S91" s="7"/>
      <c r="T91" s="7"/>
      <c r="U91" s="7"/>
      <c r="V91" s="7"/>
    </row>
    <row r="92" ht="14.25" customHeight="1">
      <c r="A92" s="4">
        <v>20319.0</v>
      </c>
      <c r="B92" s="11">
        <v>45745.0</v>
      </c>
      <c r="C92" s="4" t="s">
        <v>80</v>
      </c>
      <c r="D92" s="4" t="s">
        <v>64</v>
      </c>
      <c r="E92" s="4" t="s">
        <v>53</v>
      </c>
      <c r="F92" s="4" t="s">
        <v>102</v>
      </c>
      <c r="G92" s="4">
        <v>8.0</v>
      </c>
      <c r="H92" s="13">
        <v>828.0</v>
      </c>
      <c r="I92" s="13">
        <v>6624.0</v>
      </c>
      <c r="J92" s="4">
        <v>20.0</v>
      </c>
      <c r="K92" s="13">
        <v>1325.0</v>
      </c>
      <c r="L92" s="13">
        <v>5299.0</v>
      </c>
      <c r="M92" s="4" t="s">
        <v>68</v>
      </c>
      <c r="N92" s="4" t="s">
        <v>72</v>
      </c>
      <c r="O92" s="4" t="s">
        <v>57</v>
      </c>
      <c r="P92" s="7"/>
      <c r="Q92" s="7"/>
      <c r="R92" s="7"/>
      <c r="S92" s="7"/>
      <c r="T92" s="7"/>
      <c r="U92" s="7"/>
      <c r="V92" s="7"/>
    </row>
    <row r="93" ht="14.25" customHeight="1">
      <c r="A93" s="4">
        <v>20357.0</v>
      </c>
      <c r="B93" s="11">
        <v>45746.0</v>
      </c>
      <c r="C93" s="4" t="s">
        <v>58</v>
      </c>
      <c r="D93" s="4" t="s">
        <v>25</v>
      </c>
      <c r="E93" s="4" t="s">
        <v>59</v>
      </c>
      <c r="F93" s="4" t="s">
        <v>79</v>
      </c>
      <c r="G93" s="4">
        <v>7.0</v>
      </c>
      <c r="H93" s="13">
        <v>126.0</v>
      </c>
      <c r="I93" s="13">
        <v>882.0</v>
      </c>
      <c r="J93" s="4">
        <v>10.0</v>
      </c>
      <c r="K93" s="13">
        <v>88.0</v>
      </c>
      <c r="L93" s="13">
        <v>794.0</v>
      </c>
      <c r="M93" s="4" t="s">
        <v>96</v>
      </c>
      <c r="N93" s="4" t="s">
        <v>62</v>
      </c>
      <c r="O93" s="4" t="s">
        <v>44</v>
      </c>
      <c r="P93" s="7"/>
      <c r="Q93" s="7"/>
      <c r="R93" s="7"/>
      <c r="S93" s="7"/>
      <c r="T93" s="7"/>
      <c r="U93" s="7"/>
      <c r="V93" s="7"/>
    </row>
    <row r="94" ht="14.25" customHeight="1">
      <c r="A94" s="4">
        <v>20073.0</v>
      </c>
      <c r="B94" s="11">
        <v>45747.0</v>
      </c>
      <c r="C94" s="4" t="s">
        <v>82</v>
      </c>
      <c r="D94" s="4" t="s">
        <v>52</v>
      </c>
      <c r="E94" s="4" t="s">
        <v>47</v>
      </c>
      <c r="F94" s="4" t="s">
        <v>27</v>
      </c>
      <c r="G94" s="4">
        <v>15.0</v>
      </c>
      <c r="H94" s="13">
        <v>2213.0</v>
      </c>
      <c r="I94" s="13">
        <v>33195.0</v>
      </c>
      <c r="J94" s="4">
        <v>0.0</v>
      </c>
      <c r="K94" s="13">
        <v>0.0</v>
      </c>
      <c r="L94" s="13">
        <v>33195.0</v>
      </c>
      <c r="M94" s="4" t="s">
        <v>42</v>
      </c>
      <c r="N94" s="4" t="s">
        <v>72</v>
      </c>
      <c r="O94" s="4" t="s">
        <v>44</v>
      </c>
      <c r="P94" s="7"/>
      <c r="Q94" s="7"/>
      <c r="R94" s="7"/>
      <c r="S94" s="7"/>
      <c r="T94" s="7"/>
      <c r="U94" s="7"/>
      <c r="V94" s="7"/>
    </row>
    <row r="95" ht="14.25" customHeight="1">
      <c r="A95" s="4">
        <v>20087.0</v>
      </c>
      <c r="B95" s="11">
        <v>45747.0</v>
      </c>
      <c r="C95" s="4" t="s">
        <v>92</v>
      </c>
      <c r="D95" s="4" t="s">
        <v>25</v>
      </c>
      <c r="E95" s="4" t="s">
        <v>47</v>
      </c>
      <c r="F95" s="4" t="s">
        <v>27</v>
      </c>
      <c r="G95" s="4">
        <v>10.0</v>
      </c>
      <c r="H95" s="13">
        <v>1150.0</v>
      </c>
      <c r="I95" s="13">
        <v>11500.0</v>
      </c>
      <c r="J95" s="4">
        <v>5.0</v>
      </c>
      <c r="K95" s="13">
        <v>575.0</v>
      </c>
      <c r="L95" s="13">
        <v>10925.0</v>
      </c>
      <c r="M95" s="4" t="s">
        <v>96</v>
      </c>
      <c r="N95" s="4" t="s">
        <v>43</v>
      </c>
      <c r="O95" s="4" t="s">
        <v>44</v>
      </c>
      <c r="P95" s="7"/>
      <c r="Q95" s="7"/>
      <c r="R95" s="7"/>
      <c r="S95" s="7"/>
      <c r="T95" s="7"/>
      <c r="U95" s="7"/>
      <c r="V95" s="7"/>
    </row>
    <row r="96" ht="14.25" customHeight="1">
      <c r="A96" s="4">
        <v>20389.0</v>
      </c>
      <c r="B96" s="11">
        <v>45748.0</v>
      </c>
      <c r="C96" s="4" t="s">
        <v>82</v>
      </c>
      <c r="D96" s="4" t="s">
        <v>52</v>
      </c>
      <c r="E96" s="4" t="s">
        <v>47</v>
      </c>
      <c r="F96" s="4" t="s">
        <v>103</v>
      </c>
      <c r="G96" s="4">
        <v>1.0</v>
      </c>
      <c r="H96" s="13">
        <v>2174.0</v>
      </c>
      <c r="I96" s="13">
        <v>2174.0</v>
      </c>
      <c r="J96" s="4">
        <v>15.0</v>
      </c>
      <c r="K96" s="13">
        <v>326.0</v>
      </c>
      <c r="L96" s="13">
        <v>1848.0</v>
      </c>
      <c r="M96" s="4" t="s">
        <v>68</v>
      </c>
      <c r="N96" s="4" t="s">
        <v>56</v>
      </c>
      <c r="O96" s="4" t="s">
        <v>57</v>
      </c>
      <c r="P96" s="7"/>
      <c r="Q96" s="7"/>
      <c r="R96" s="7"/>
      <c r="S96" s="7"/>
      <c r="T96" s="7"/>
      <c r="U96" s="7"/>
      <c r="V96" s="7"/>
    </row>
    <row r="97" ht="14.25" customHeight="1">
      <c r="A97" s="4">
        <v>20365.0</v>
      </c>
      <c r="B97" s="11">
        <v>45749.0</v>
      </c>
      <c r="C97" s="4" t="s">
        <v>66</v>
      </c>
      <c r="D97" s="4" t="s">
        <v>46</v>
      </c>
      <c r="E97" s="4" t="s">
        <v>47</v>
      </c>
      <c r="F97" s="4" t="s">
        <v>91</v>
      </c>
      <c r="G97" s="4">
        <v>10.0</v>
      </c>
      <c r="H97" s="13">
        <v>1788.0</v>
      </c>
      <c r="I97" s="13">
        <v>17880.0</v>
      </c>
      <c r="J97" s="4">
        <v>5.0</v>
      </c>
      <c r="K97" s="13">
        <v>894.0</v>
      </c>
      <c r="L97" s="13">
        <v>16986.0</v>
      </c>
      <c r="M97" s="4" t="s">
        <v>61</v>
      </c>
      <c r="N97" s="4" t="s">
        <v>43</v>
      </c>
      <c r="O97" s="4" t="s">
        <v>44</v>
      </c>
      <c r="P97" s="7"/>
      <c r="Q97" s="7"/>
      <c r="R97" s="7"/>
      <c r="S97" s="7"/>
      <c r="T97" s="7"/>
      <c r="U97" s="7"/>
      <c r="V97" s="7"/>
    </row>
    <row r="98" ht="14.25" customHeight="1">
      <c r="A98" s="4">
        <v>20111.0</v>
      </c>
      <c r="B98" s="11">
        <v>45750.0</v>
      </c>
      <c r="C98" s="4" t="s">
        <v>66</v>
      </c>
      <c r="D98" s="4" t="s">
        <v>46</v>
      </c>
      <c r="E98" s="4" t="s">
        <v>53</v>
      </c>
      <c r="F98" s="4" t="s">
        <v>95</v>
      </c>
      <c r="G98" s="4">
        <v>6.0</v>
      </c>
      <c r="H98" s="13">
        <v>592.0</v>
      </c>
      <c r="I98" s="13">
        <v>3552.0</v>
      </c>
      <c r="J98" s="4">
        <v>0.0</v>
      </c>
      <c r="K98" s="13">
        <v>0.0</v>
      </c>
      <c r="L98" s="13">
        <v>3552.0</v>
      </c>
      <c r="M98" s="4" t="s">
        <v>68</v>
      </c>
      <c r="N98" s="4" t="s">
        <v>62</v>
      </c>
      <c r="O98" s="4" t="s">
        <v>69</v>
      </c>
      <c r="P98" s="7"/>
      <c r="Q98" s="7"/>
      <c r="R98" s="7"/>
      <c r="S98" s="7"/>
      <c r="T98" s="7"/>
      <c r="U98" s="7"/>
      <c r="V98" s="7"/>
    </row>
    <row r="99" ht="14.25" customHeight="1">
      <c r="A99" s="4">
        <v>20412.0</v>
      </c>
      <c r="B99" s="11">
        <v>45750.0</v>
      </c>
      <c r="C99" s="4" t="s">
        <v>76</v>
      </c>
      <c r="D99" s="4" t="s">
        <v>64</v>
      </c>
      <c r="E99" s="4" t="s">
        <v>47</v>
      </c>
      <c r="F99" s="4" t="s">
        <v>65</v>
      </c>
      <c r="G99" s="4">
        <v>14.0</v>
      </c>
      <c r="H99" s="13">
        <v>2473.0</v>
      </c>
      <c r="I99" s="13">
        <v>34622.0</v>
      </c>
      <c r="J99" s="4">
        <v>5.0</v>
      </c>
      <c r="K99" s="13">
        <v>1731.0</v>
      </c>
      <c r="L99" s="13">
        <v>32891.0</v>
      </c>
      <c r="M99" s="4" t="s">
        <v>61</v>
      </c>
      <c r="N99" s="4" t="s">
        <v>50</v>
      </c>
      <c r="O99" s="4" t="s">
        <v>69</v>
      </c>
      <c r="P99" s="7"/>
      <c r="Q99" s="7"/>
      <c r="R99" s="7"/>
      <c r="S99" s="7"/>
      <c r="T99" s="7"/>
      <c r="U99" s="7"/>
      <c r="V99" s="7"/>
    </row>
    <row r="100" ht="14.25" customHeight="1">
      <c r="A100" s="4">
        <v>20059.0</v>
      </c>
      <c r="B100" s="11">
        <v>45751.0</v>
      </c>
      <c r="C100" s="4" t="s">
        <v>82</v>
      </c>
      <c r="D100" s="4" t="s">
        <v>52</v>
      </c>
      <c r="E100" s="4" t="s">
        <v>77</v>
      </c>
      <c r="F100" s="4" t="s">
        <v>101</v>
      </c>
      <c r="G100" s="4">
        <v>13.0</v>
      </c>
      <c r="H100" s="13">
        <v>3688.0</v>
      </c>
      <c r="I100" s="13">
        <v>47944.0</v>
      </c>
      <c r="J100" s="4">
        <v>10.0</v>
      </c>
      <c r="K100" s="13">
        <v>4794.0</v>
      </c>
      <c r="L100" s="13">
        <v>43150.0</v>
      </c>
      <c r="M100" s="4" t="s">
        <v>81</v>
      </c>
      <c r="N100" s="4" t="s">
        <v>56</v>
      </c>
      <c r="O100" s="4" t="s">
        <v>69</v>
      </c>
      <c r="P100" s="7"/>
      <c r="Q100" s="7"/>
      <c r="R100" s="7"/>
      <c r="S100" s="7"/>
      <c r="T100" s="7"/>
      <c r="U100" s="7"/>
      <c r="V100" s="7"/>
    </row>
    <row r="101" ht="14.25" customHeight="1">
      <c r="A101" s="4">
        <v>20142.0</v>
      </c>
      <c r="B101" s="11">
        <v>45751.0</v>
      </c>
      <c r="C101" s="4" t="s">
        <v>76</v>
      </c>
      <c r="D101" s="4" t="s">
        <v>64</v>
      </c>
      <c r="E101" s="4" t="s">
        <v>26</v>
      </c>
      <c r="F101" s="4" t="s">
        <v>94</v>
      </c>
      <c r="G101" s="4">
        <v>13.0</v>
      </c>
      <c r="H101" s="13">
        <v>588.0</v>
      </c>
      <c r="I101" s="13">
        <v>7644.0</v>
      </c>
      <c r="J101" s="4">
        <v>20.0</v>
      </c>
      <c r="K101" s="13">
        <v>1529.0</v>
      </c>
      <c r="L101" s="13">
        <v>6115.0</v>
      </c>
      <c r="M101" s="4" t="s">
        <v>106</v>
      </c>
      <c r="N101" s="4" t="s">
        <v>62</v>
      </c>
      <c r="O101" s="4" t="s">
        <v>44</v>
      </c>
      <c r="P101" s="7"/>
      <c r="Q101" s="7"/>
      <c r="R101" s="7"/>
      <c r="S101" s="7"/>
      <c r="T101" s="7"/>
      <c r="U101" s="7"/>
      <c r="V101" s="7"/>
    </row>
    <row r="102" ht="14.25" customHeight="1">
      <c r="A102" s="4">
        <v>20408.0</v>
      </c>
      <c r="B102" s="11">
        <v>45751.0</v>
      </c>
      <c r="C102" s="4" t="s">
        <v>66</v>
      </c>
      <c r="D102" s="4" t="s">
        <v>46</v>
      </c>
      <c r="E102" s="4" t="s">
        <v>59</v>
      </c>
      <c r="F102" s="4" t="s">
        <v>60</v>
      </c>
      <c r="G102" s="4">
        <v>13.0</v>
      </c>
      <c r="H102" s="13">
        <v>276.0</v>
      </c>
      <c r="I102" s="13">
        <v>3588.0</v>
      </c>
      <c r="J102" s="4">
        <v>10.0</v>
      </c>
      <c r="K102" s="13">
        <v>359.0</v>
      </c>
      <c r="L102" s="13">
        <v>3229.0</v>
      </c>
      <c r="M102" s="4" t="s">
        <v>81</v>
      </c>
      <c r="N102" s="4" t="s">
        <v>56</v>
      </c>
      <c r="O102" s="4" t="s">
        <v>44</v>
      </c>
      <c r="P102" s="7"/>
      <c r="Q102" s="7"/>
      <c r="R102" s="7"/>
      <c r="S102" s="7"/>
      <c r="T102" s="7"/>
      <c r="U102" s="7"/>
      <c r="V102" s="7"/>
    </row>
    <row r="103" ht="14.25" customHeight="1">
      <c r="A103" s="4">
        <v>20215.0</v>
      </c>
      <c r="B103" s="11">
        <v>45753.0</v>
      </c>
      <c r="C103" s="4" t="s">
        <v>51</v>
      </c>
      <c r="D103" s="4" t="s">
        <v>52</v>
      </c>
      <c r="E103" s="4" t="s">
        <v>26</v>
      </c>
      <c r="F103" s="4" t="s">
        <v>70</v>
      </c>
      <c r="G103" s="4">
        <v>5.0</v>
      </c>
      <c r="H103" s="13">
        <v>372.0</v>
      </c>
      <c r="I103" s="13">
        <v>1860.0</v>
      </c>
      <c r="J103" s="4">
        <v>0.0</v>
      </c>
      <c r="K103" s="13">
        <v>0.0</v>
      </c>
      <c r="L103" s="13">
        <v>1860.0</v>
      </c>
      <c r="M103" s="4" t="s">
        <v>61</v>
      </c>
      <c r="N103" s="4" t="s">
        <v>50</v>
      </c>
      <c r="O103" s="4" t="s">
        <v>57</v>
      </c>
      <c r="P103" s="7"/>
      <c r="Q103" s="7"/>
      <c r="R103" s="7"/>
      <c r="S103" s="7"/>
      <c r="T103" s="7"/>
      <c r="U103" s="7"/>
      <c r="V103" s="7"/>
    </row>
    <row r="104" ht="14.25" customHeight="1">
      <c r="A104" s="4">
        <v>20299.0</v>
      </c>
      <c r="B104" s="11">
        <v>45753.0</v>
      </c>
      <c r="C104" s="4" t="s">
        <v>73</v>
      </c>
      <c r="D104" s="4" t="s">
        <v>52</v>
      </c>
      <c r="E104" s="4" t="s">
        <v>26</v>
      </c>
      <c r="F104" s="4" t="s">
        <v>74</v>
      </c>
      <c r="G104" s="4">
        <v>8.0</v>
      </c>
      <c r="H104" s="13">
        <v>596.0</v>
      </c>
      <c r="I104" s="13">
        <v>4768.0</v>
      </c>
      <c r="J104" s="4">
        <v>0.0</v>
      </c>
      <c r="K104" s="13">
        <v>0.0</v>
      </c>
      <c r="L104" s="13">
        <v>4768.0</v>
      </c>
      <c r="M104" s="4" t="s">
        <v>71</v>
      </c>
      <c r="N104" s="4" t="s">
        <v>62</v>
      </c>
      <c r="O104" s="4" t="s">
        <v>57</v>
      </c>
      <c r="P104" s="7"/>
      <c r="Q104" s="7"/>
      <c r="R104" s="7"/>
      <c r="S104" s="7"/>
      <c r="T104" s="7"/>
      <c r="U104" s="7"/>
      <c r="V104" s="7"/>
    </row>
    <row r="105" ht="14.25" customHeight="1">
      <c r="A105" s="4">
        <v>20383.0</v>
      </c>
      <c r="B105" s="11">
        <v>45753.0</v>
      </c>
      <c r="C105" s="4" t="s">
        <v>80</v>
      </c>
      <c r="D105" s="4" t="s">
        <v>64</v>
      </c>
      <c r="E105" s="4" t="s">
        <v>53</v>
      </c>
      <c r="F105" s="4" t="s">
        <v>54</v>
      </c>
      <c r="G105" s="4">
        <v>12.0</v>
      </c>
      <c r="H105" s="13">
        <v>770.0</v>
      </c>
      <c r="I105" s="13">
        <v>9240.0</v>
      </c>
      <c r="J105" s="4">
        <v>15.0</v>
      </c>
      <c r="K105" s="13">
        <v>1386.0</v>
      </c>
      <c r="L105" s="13">
        <v>7854.0</v>
      </c>
      <c r="M105" s="4" t="s">
        <v>71</v>
      </c>
      <c r="N105" s="4" t="s">
        <v>43</v>
      </c>
      <c r="O105" s="4" t="s">
        <v>57</v>
      </c>
      <c r="P105" s="7"/>
      <c r="Q105" s="7"/>
      <c r="R105" s="7"/>
      <c r="S105" s="7"/>
      <c r="T105" s="7"/>
      <c r="U105" s="7"/>
      <c r="V105" s="7"/>
    </row>
    <row r="106" ht="14.25" customHeight="1">
      <c r="A106" s="4">
        <v>20347.0</v>
      </c>
      <c r="B106" s="11">
        <v>45754.0</v>
      </c>
      <c r="C106" s="4" t="s">
        <v>58</v>
      </c>
      <c r="D106" s="4" t="s">
        <v>25</v>
      </c>
      <c r="E106" s="4" t="s">
        <v>59</v>
      </c>
      <c r="F106" s="4" t="s">
        <v>60</v>
      </c>
      <c r="G106" s="4">
        <v>8.0</v>
      </c>
      <c r="H106" s="13">
        <v>115.0</v>
      </c>
      <c r="I106" s="13">
        <v>920.0</v>
      </c>
      <c r="J106" s="4">
        <v>0.0</v>
      </c>
      <c r="K106" s="13">
        <v>0.0</v>
      </c>
      <c r="L106" s="13">
        <v>920.0</v>
      </c>
      <c r="M106" s="4" t="s">
        <v>49</v>
      </c>
      <c r="N106" s="4" t="s">
        <v>62</v>
      </c>
      <c r="O106" s="4" t="s">
        <v>44</v>
      </c>
      <c r="P106" s="7"/>
      <c r="Q106" s="7"/>
      <c r="R106" s="7"/>
      <c r="S106" s="7"/>
      <c r="T106" s="7"/>
      <c r="U106" s="7"/>
      <c r="V106" s="7"/>
    </row>
    <row r="107" ht="14.25" customHeight="1">
      <c r="A107" s="4">
        <v>20392.0</v>
      </c>
      <c r="B107" s="11">
        <v>45754.0</v>
      </c>
      <c r="C107" s="4" t="s">
        <v>97</v>
      </c>
      <c r="D107" s="4" t="s">
        <v>25</v>
      </c>
      <c r="E107" s="4" t="s">
        <v>26</v>
      </c>
      <c r="F107" s="4" t="s">
        <v>70</v>
      </c>
      <c r="G107" s="4">
        <v>9.0</v>
      </c>
      <c r="H107" s="13">
        <v>240.0</v>
      </c>
      <c r="I107" s="13">
        <v>2160.0</v>
      </c>
      <c r="J107" s="4">
        <v>15.0</v>
      </c>
      <c r="K107" s="13">
        <v>324.0</v>
      </c>
      <c r="L107" s="13">
        <v>1836.0</v>
      </c>
      <c r="M107" s="4" t="s">
        <v>55</v>
      </c>
      <c r="N107" s="4" t="s">
        <v>43</v>
      </c>
      <c r="O107" s="4" t="s">
        <v>44</v>
      </c>
      <c r="P107" s="7"/>
      <c r="Q107" s="7"/>
      <c r="R107" s="7"/>
      <c r="S107" s="7"/>
      <c r="T107" s="7"/>
      <c r="U107" s="7"/>
      <c r="V107" s="7"/>
    </row>
    <row r="108" ht="14.25" customHeight="1">
      <c r="A108" s="4">
        <v>20020.0</v>
      </c>
      <c r="B108" s="11">
        <v>45755.0</v>
      </c>
      <c r="C108" s="4" t="s">
        <v>73</v>
      </c>
      <c r="D108" s="4" t="s">
        <v>52</v>
      </c>
      <c r="E108" s="4" t="s">
        <v>77</v>
      </c>
      <c r="F108" s="4" t="s">
        <v>110</v>
      </c>
      <c r="G108" s="4">
        <v>3.0</v>
      </c>
      <c r="H108" s="13">
        <v>4689.0</v>
      </c>
      <c r="I108" s="13">
        <v>14067.0</v>
      </c>
      <c r="J108" s="4">
        <v>20.0</v>
      </c>
      <c r="K108" s="13">
        <v>2813.0</v>
      </c>
      <c r="L108" s="13">
        <v>11254.0</v>
      </c>
      <c r="M108" s="4" t="s">
        <v>87</v>
      </c>
      <c r="N108" s="4" t="s">
        <v>62</v>
      </c>
      <c r="O108" s="4" t="s">
        <v>69</v>
      </c>
      <c r="P108" s="7"/>
      <c r="Q108" s="7"/>
      <c r="R108" s="7"/>
      <c r="S108" s="7"/>
      <c r="T108" s="7"/>
      <c r="U108" s="7"/>
      <c r="V108" s="7"/>
    </row>
    <row r="109" ht="14.25" customHeight="1">
      <c r="A109" s="4">
        <v>20120.0</v>
      </c>
      <c r="B109" s="11">
        <v>45757.0</v>
      </c>
      <c r="C109" s="4" t="s">
        <v>45</v>
      </c>
      <c r="D109" s="4" t="s">
        <v>46</v>
      </c>
      <c r="E109" s="4" t="s">
        <v>53</v>
      </c>
      <c r="F109" s="4" t="s">
        <v>98</v>
      </c>
      <c r="G109" s="4">
        <v>14.0</v>
      </c>
      <c r="H109" s="13">
        <v>509.0</v>
      </c>
      <c r="I109" s="13">
        <v>7126.0</v>
      </c>
      <c r="J109" s="4">
        <v>0.0</v>
      </c>
      <c r="K109" s="13">
        <v>0.0</v>
      </c>
      <c r="L109" s="13">
        <v>7126.0</v>
      </c>
      <c r="M109" s="4" t="s">
        <v>68</v>
      </c>
      <c r="N109" s="4" t="s">
        <v>56</v>
      </c>
      <c r="O109" s="4" t="s">
        <v>69</v>
      </c>
      <c r="P109" s="7"/>
      <c r="Q109" s="7"/>
      <c r="R109" s="7"/>
      <c r="S109" s="7"/>
      <c r="T109" s="7"/>
      <c r="U109" s="7"/>
      <c r="V109" s="7"/>
    </row>
    <row r="110" ht="14.25" customHeight="1">
      <c r="A110" s="4">
        <v>20013.0</v>
      </c>
      <c r="B110" s="11">
        <v>45759.0</v>
      </c>
      <c r="C110" s="4" t="s">
        <v>76</v>
      </c>
      <c r="D110" s="4" t="s">
        <v>64</v>
      </c>
      <c r="E110" s="4" t="s">
        <v>53</v>
      </c>
      <c r="F110" s="4" t="s">
        <v>75</v>
      </c>
      <c r="G110" s="4">
        <v>9.0</v>
      </c>
      <c r="H110" s="13">
        <v>962.0</v>
      </c>
      <c r="I110" s="13">
        <v>8658.0</v>
      </c>
      <c r="J110" s="4">
        <v>0.0</v>
      </c>
      <c r="K110" s="13">
        <v>0.0</v>
      </c>
      <c r="L110" s="13">
        <v>8658.0</v>
      </c>
      <c r="M110" s="4" t="s">
        <v>55</v>
      </c>
      <c r="N110" s="4" t="s">
        <v>72</v>
      </c>
      <c r="O110" s="4" t="s">
        <v>69</v>
      </c>
      <c r="P110" s="7"/>
      <c r="Q110" s="7"/>
      <c r="R110" s="7"/>
      <c r="S110" s="7"/>
      <c r="T110" s="7"/>
      <c r="U110" s="7"/>
      <c r="V110" s="7"/>
    </row>
    <row r="111" ht="14.25" customHeight="1">
      <c r="A111" s="4">
        <v>20034.0</v>
      </c>
      <c r="B111" s="11">
        <v>45760.0</v>
      </c>
      <c r="C111" s="4" t="s">
        <v>73</v>
      </c>
      <c r="D111" s="4" t="s">
        <v>52</v>
      </c>
      <c r="E111" s="4" t="s">
        <v>53</v>
      </c>
      <c r="F111" s="4" t="s">
        <v>95</v>
      </c>
      <c r="G111" s="4">
        <v>14.0</v>
      </c>
      <c r="H111" s="13">
        <v>347.0</v>
      </c>
      <c r="I111" s="13">
        <v>4858.0</v>
      </c>
      <c r="J111" s="4">
        <v>5.0</v>
      </c>
      <c r="K111" s="13">
        <v>243.0</v>
      </c>
      <c r="L111" s="13">
        <v>4615.0</v>
      </c>
      <c r="M111" s="4" t="s">
        <v>55</v>
      </c>
      <c r="N111" s="4" t="s">
        <v>72</v>
      </c>
      <c r="O111" s="4" t="s">
        <v>69</v>
      </c>
      <c r="P111" s="7"/>
      <c r="Q111" s="7"/>
      <c r="R111" s="7"/>
      <c r="S111" s="7"/>
      <c r="T111" s="7"/>
      <c r="U111" s="7"/>
      <c r="V111" s="7"/>
    </row>
    <row r="112" ht="14.25" customHeight="1">
      <c r="A112" s="4">
        <v>20222.0</v>
      </c>
      <c r="B112" s="11">
        <v>45760.0</v>
      </c>
      <c r="C112" s="4" t="s">
        <v>82</v>
      </c>
      <c r="D112" s="4" t="s">
        <v>52</v>
      </c>
      <c r="E112" s="4" t="s">
        <v>53</v>
      </c>
      <c r="F112" s="4" t="s">
        <v>75</v>
      </c>
      <c r="G112" s="4">
        <v>7.0</v>
      </c>
      <c r="H112" s="13">
        <v>1804.0</v>
      </c>
      <c r="I112" s="13">
        <v>12628.0</v>
      </c>
      <c r="J112" s="4">
        <v>10.0</v>
      </c>
      <c r="K112" s="13">
        <v>1263.0</v>
      </c>
      <c r="L112" s="13">
        <v>11365.0</v>
      </c>
      <c r="M112" s="4" t="s">
        <v>106</v>
      </c>
      <c r="N112" s="4" t="s">
        <v>72</v>
      </c>
      <c r="O112" s="4" t="s">
        <v>44</v>
      </c>
      <c r="P112" s="7"/>
      <c r="Q112" s="7"/>
      <c r="R112" s="7"/>
      <c r="S112" s="7"/>
      <c r="T112" s="7"/>
      <c r="U112" s="7"/>
      <c r="V112" s="7"/>
    </row>
    <row r="113" ht="14.25" customHeight="1">
      <c r="A113" s="4">
        <v>20313.0</v>
      </c>
      <c r="B113" s="11">
        <v>45763.0</v>
      </c>
      <c r="C113" s="4" t="s">
        <v>66</v>
      </c>
      <c r="D113" s="4" t="s">
        <v>46</v>
      </c>
      <c r="E113" s="4" t="s">
        <v>59</v>
      </c>
      <c r="F113" s="4" t="s">
        <v>83</v>
      </c>
      <c r="G113" s="4">
        <v>1.0</v>
      </c>
      <c r="H113" s="13">
        <v>391.0</v>
      </c>
      <c r="I113" s="13">
        <v>391.0</v>
      </c>
      <c r="J113" s="4">
        <v>10.0</v>
      </c>
      <c r="K113" s="13">
        <v>39.0</v>
      </c>
      <c r="L113" s="13">
        <v>352.0</v>
      </c>
      <c r="M113" s="4" t="s">
        <v>81</v>
      </c>
      <c r="N113" s="4" t="s">
        <v>50</v>
      </c>
      <c r="O113" s="4" t="s">
        <v>44</v>
      </c>
      <c r="P113" s="7"/>
      <c r="Q113" s="7"/>
      <c r="R113" s="7"/>
      <c r="S113" s="7"/>
      <c r="T113" s="7"/>
      <c r="U113" s="7"/>
      <c r="V113" s="7"/>
    </row>
    <row r="114" ht="14.25" customHeight="1">
      <c r="A114" s="4">
        <v>20174.0</v>
      </c>
      <c r="B114" s="11">
        <v>45764.0</v>
      </c>
      <c r="C114" s="4" t="s">
        <v>82</v>
      </c>
      <c r="D114" s="4" t="s">
        <v>52</v>
      </c>
      <c r="E114" s="4" t="s">
        <v>53</v>
      </c>
      <c r="F114" s="4" t="s">
        <v>48</v>
      </c>
      <c r="G114" s="4">
        <v>6.0</v>
      </c>
      <c r="H114" s="13">
        <v>548.0</v>
      </c>
      <c r="I114" s="13">
        <v>3288.0</v>
      </c>
      <c r="J114" s="4">
        <v>5.0</v>
      </c>
      <c r="K114" s="13">
        <v>164.0</v>
      </c>
      <c r="L114" s="13">
        <v>3124.0</v>
      </c>
      <c r="M114" s="4" t="s">
        <v>61</v>
      </c>
      <c r="N114" s="4" t="s">
        <v>72</v>
      </c>
      <c r="O114" s="4" t="s">
        <v>69</v>
      </c>
      <c r="P114" s="7"/>
      <c r="Q114" s="7"/>
      <c r="R114" s="7"/>
      <c r="S114" s="7"/>
      <c r="T114" s="7"/>
      <c r="U114" s="7"/>
      <c r="V114" s="7"/>
    </row>
    <row r="115" ht="14.25" customHeight="1">
      <c r="A115" s="4">
        <v>20351.0</v>
      </c>
      <c r="B115" s="11">
        <v>45765.0</v>
      </c>
      <c r="C115" s="4" t="s">
        <v>89</v>
      </c>
      <c r="D115" s="4" t="s">
        <v>46</v>
      </c>
      <c r="E115" s="4" t="s">
        <v>53</v>
      </c>
      <c r="F115" s="4" t="s">
        <v>98</v>
      </c>
      <c r="G115" s="4">
        <v>3.0</v>
      </c>
      <c r="H115" s="13">
        <v>1410.0</v>
      </c>
      <c r="I115" s="13">
        <v>4230.0</v>
      </c>
      <c r="J115" s="4">
        <v>15.0</v>
      </c>
      <c r="K115" s="13">
        <v>634.0</v>
      </c>
      <c r="L115" s="13">
        <v>3596.0</v>
      </c>
      <c r="M115" s="4" t="s">
        <v>71</v>
      </c>
      <c r="N115" s="4" t="s">
        <v>72</v>
      </c>
      <c r="O115" s="4" t="s">
        <v>57</v>
      </c>
      <c r="P115" s="7"/>
      <c r="Q115" s="7"/>
      <c r="R115" s="7"/>
      <c r="S115" s="7"/>
      <c r="T115" s="7"/>
      <c r="U115" s="7"/>
      <c r="V115" s="7"/>
    </row>
    <row r="116" ht="14.25" customHeight="1">
      <c r="A116" s="4">
        <v>20302.0</v>
      </c>
      <c r="B116" s="11">
        <v>45766.0</v>
      </c>
      <c r="C116" s="4" t="s">
        <v>99</v>
      </c>
      <c r="D116" s="4" t="s">
        <v>64</v>
      </c>
      <c r="E116" s="4" t="s">
        <v>77</v>
      </c>
      <c r="F116" s="4" t="s">
        <v>90</v>
      </c>
      <c r="G116" s="4">
        <v>7.0</v>
      </c>
      <c r="H116" s="13">
        <v>6496.0</v>
      </c>
      <c r="I116" s="13">
        <v>45472.0</v>
      </c>
      <c r="J116" s="4">
        <v>20.0</v>
      </c>
      <c r="K116" s="13">
        <v>9094.0</v>
      </c>
      <c r="L116" s="13">
        <v>36378.0</v>
      </c>
      <c r="M116" s="4" t="s">
        <v>49</v>
      </c>
      <c r="N116" s="4" t="s">
        <v>72</v>
      </c>
      <c r="O116" s="4" t="s">
        <v>44</v>
      </c>
      <c r="P116" s="7"/>
      <c r="Q116" s="7"/>
      <c r="R116" s="7"/>
      <c r="S116" s="7"/>
      <c r="T116" s="7"/>
      <c r="U116" s="7"/>
      <c r="V116" s="7"/>
    </row>
    <row r="117" ht="14.25" customHeight="1">
      <c r="A117" s="4">
        <v>20063.0</v>
      </c>
      <c r="B117" s="11">
        <v>45768.0</v>
      </c>
      <c r="C117" s="4" t="s">
        <v>82</v>
      </c>
      <c r="D117" s="4" t="s">
        <v>52</v>
      </c>
      <c r="E117" s="4" t="s">
        <v>53</v>
      </c>
      <c r="F117" s="4" t="s">
        <v>98</v>
      </c>
      <c r="G117" s="4">
        <v>10.0</v>
      </c>
      <c r="H117" s="13">
        <v>696.0</v>
      </c>
      <c r="I117" s="13">
        <v>6960.0</v>
      </c>
      <c r="J117" s="4">
        <v>0.0</v>
      </c>
      <c r="K117" s="13">
        <v>0.0</v>
      </c>
      <c r="L117" s="13">
        <v>6960.0</v>
      </c>
      <c r="M117" s="4" t="s">
        <v>68</v>
      </c>
      <c r="N117" s="4" t="s">
        <v>72</v>
      </c>
      <c r="O117" s="4" t="s">
        <v>69</v>
      </c>
      <c r="P117" s="7"/>
      <c r="Q117" s="7"/>
      <c r="R117" s="7"/>
      <c r="S117" s="7"/>
      <c r="T117" s="7"/>
      <c r="U117" s="7"/>
      <c r="V117" s="7"/>
    </row>
    <row r="118" ht="14.25" customHeight="1">
      <c r="A118" s="4">
        <v>20106.0</v>
      </c>
      <c r="B118" s="11">
        <v>45768.0</v>
      </c>
      <c r="C118" s="4" t="s">
        <v>24</v>
      </c>
      <c r="D118" s="4" t="s">
        <v>52</v>
      </c>
      <c r="E118" s="4" t="s">
        <v>59</v>
      </c>
      <c r="F118" s="4" t="s">
        <v>60</v>
      </c>
      <c r="G118" s="4">
        <v>7.0</v>
      </c>
      <c r="H118" s="13">
        <v>264.0</v>
      </c>
      <c r="I118" s="13">
        <v>1848.0</v>
      </c>
      <c r="J118" s="4">
        <v>15.0</v>
      </c>
      <c r="K118" s="13">
        <v>277.0</v>
      </c>
      <c r="L118" s="13">
        <v>1571.0</v>
      </c>
      <c r="M118" s="4" t="s">
        <v>71</v>
      </c>
      <c r="N118" s="4" t="s">
        <v>72</v>
      </c>
      <c r="O118" s="4" t="s">
        <v>44</v>
      </c>
      <c r="P118" s="7"/>
      <c r="Q118" s="7"/>
      <c r="R118" s="7"/>
      <c r="S118" s="7"/>
      <c r="T118" s="7"/>
      <c r="U118" s="7"/>
      <c r="V118" s="7"/>
    </row>
    <row r="119" ht="14.25" customHeight="1">
      <c r="A119" s="4">
        <v>20258.0</v>
      </c>
      <c r="B119" s="11">
        <v>45768.0</v>
      </c>
      <c r="C119" s="4" t="s">
        <v>93</v>
      </c>
      <c r="D119" s="4" t="s">
        <v>25</v>
      </c>
      <c r="E119" s="4" t="s">
        <v>26</v>
      </c>
      <c r="F119" s="4" t="s">
        <v>111</v>
      </c>
      <c r="G119" s="4">
        <v>9.0</v>
      </c>
      <c r="H119" s="13">
        <v>413.0</v>
      </c>
      <c r="I119" s="13">
        <v>3717.0</v>
      </c>
      <c r="J119" s="4">
        <v>5.0</v>
      </c>
      <c r="K119" s="13">
        <v>186.0</v>
      </c>
      <c r="L119" s="13">
        <v>3531.0</v>
      </c>
      <c r="M119" s="4" t="s">
        <v>61</v>
      </c>
      <c r="N119" s="4" t="s">
        <v>62</v>
      </c>
      <c r="O119" s="4" t="s">
        <v>57</v>
      </c>
      <c r="P119" s="7"/>
      <c r="Q119" s="7"/>
      <c r="R119" s="7"/>
      <c r="S119" s="7"/>
      <c r="T119" s="7"/>
      <c r="U119" s="7"/>
      <c r="V119" s="7"/>
    </row>
    <row r="120" ht="14.25" customHeight="1">
      <c r="A120" s="4">
        <v>20275.0</v>
      </c>
      <c r="B120" s="11">
        <v>45768.0</v>
      </c>
      <c r="C120" s="4" t="s">
        <v>84</v>
      </c>
      <c r="D120" s="4" t="s">
        <v>46</v>
      </c>
      <c r="E120" s="4" t="s">
        <v>77</v>
      </c>
      <c r="F120" s="4" t="s">
        <v>90</v>
      </c>
      <c r="G120" s="4">
        <v>12.0</v>
      </c>
      <c r="H120" s="13">
        <v>3814.0</v>
      </c>
      <c r="I120" s="13">
        <v>45768.0</v>
      </c>
      <c r="J120" s="4">
        <v>15.0</v>
      </c>
      <c r="K120" s="13">
        <v>6865.0</v>
      </c>
      <c r="L120" s="13">
        <v>38903.0</v>
      </c>
      <c r="M120" s="4" t="s">
        <v>96</v>
      </c>
      <c r="N120" s="4" t="s">
        <v>72</v>
      </c>
      <c r="O120" s="4" t="s">
        <v>69</v>
      </c>
      <c r="P120" s="7"/>
      <c r="Q120" s="7"/>
      <c r="R120" s="7"/>
      <c r="S120" s="7"/>
      <c r="T120" s="7"/>
      <c r="U120" s="7"/>
      <c r="V120" s="7"/>
    </row>
    <row r="121" ht="14.25" customHeight="1">
      <c r="A121" s="4">
        <v>20043.0</v>
      </c>
      <c r="B121" s="11">
        <v>45770.0</v>
      </c>
      <c r="C121" s="4" t="s">
        <v>80</v>
      </c>
      <c r="D121" s="4" t="s">
        <v>64</v>
      </c>
      <c r="E121" s="4" t="s">
        <v>47</v>
      </c>
      <c r="F121" s="4" t="s">
        <v>27</v>
      </c>
      <c r="G121" s="4">
        <v>1.0</v>
      </c>
      <c r="H121" s="13">
        <v>745.0</v>
      </c>
      <c r="I121" s="13">
        <v>745.0</v>
      </c>
      <c r="J121" s="4">
        <v>20.0</v>
      </c>
      <c r="K121" s="13">
        <v>149.0</v>
      </c>
      <c r="L121" s="13">
        <v>596.0</v>
      </c>
      <c r="M121" s="4" t="s">
        <v>42</v>
      </c>
      <c r="N121" s="4" t="s">
        <v>56</v>
      </c>
      <c r="O121" s="4" t="s">
        <v>57</v>
      </c>
      <c r="P121" s="7"/>
      <c r="Q121" s="7"/>
      <c r="R121" s="7"/>
      <c r="S121" s="7"/>
      <c r="T121" s="7"/>
      <c r="U121" s="7"/>
      <c r="V121" s="7"/>
    </row>
    <row r="122" ht="14.25" customHeight="1">
      <c r="A122" s="4">
        <v>20049.0</v>
      </c>
      <c r="B122" s="11">
        <v>45770.0</v>
      </c>
      <c r="C122" s="4" t="s">
        <v>66</v>
      </c>
      <c r="D122" s="4" t="s">
        <v>46</v>
      </c>
      <c r="E122" s="4" t="s">
        <v>59</v>
      </c>
      <c r="F122" s="4" t="s">
        <v>86</v>
      </c>
      <c r="G122" s="4">
        <v>1.0</v>
      </c>
      <c r="H122" s="13">
        <v>407.0</v>
      </c>
      <c r="I122" s="13">
        <v>407.0</v>
      </c>
      <c r="J122" s="4">
        <v>15.0</v>
      </c>
      <c r="K122" s="13">
        <v>61.0</v>
      </c>
      <c r="L122" s="13">
        <v>346.0</v>
      </c>
      <c r="M122" s="4" t="s">
        <v>68</v>
      </c>
      <c r="N122" s="4" t="s">
        <v>43</v>
      </c>
      <c r="O122" s="4" t="s">
        <v>69</v>
      </c>
      <c r="P122" s="7"/>
      <c r="Q122" s="7"/>
      <c r="R122" s="7"/>
      <c r="S122" s="7"/>
      <c r="T122" s="7"/>
      <c r="U122" s="7"/>
      <c r="V122" s="7"/>
    </row>
    <row r="123" ht="14.25" customHeight="1">
      <c r="A123" s="4">
        <v>20061.0</v>
      </c>
      <c r="B123" s="11">
        <v>45771.0</v>
      </c>
      <c r="C123" s="4" t="s">
        <v>51</v>
      </c>
      <c r="D123" s="4" t="s">
        <v>52</v>
      </c>
      <c r="E123" s="4" t="s">
        <v>77</v>
      </c>
      <c r="F123" s="4" t="s">
        <v>101</v>
      </c>
      <c r="G123" s="4">
        <v>11.0</v>
      </c>
      <c r="H123" s="13">
        <v>4776.0</v>
      </c>
      <c r="I123" s="13">
        <v>52536.0</v>
      </c>
      <c r="J123" s="4">
        <v>5.0</v>
      </c>
      <c r="K123" s="13">
        <v>2627.0</v>
      </c>
      <c r="L123" s="13">
        <v>49909.0</v>
      </c>
      <c r="M123" s="4" t="s">
        <v>87</v>
      </c>
      <c r="N123" s="4" t="s">
        <v>72</v>
      </c>
      <c r="O123" s="4" t="s">
        <v>44</v>
      </c>
      <c r="P123" s="7"/>
      <c r="Q123" s="7"/>
      <c r="R123" s="7"/>
      <c r="S123" s="7"/>
      <c r="T123" s="7"/>
      <c r="U123" s="7"/>
      <c r="V123" s="7"/>
    </row>
    <row r="124" ht="14.25" customHeight="1">
      <c r="A124" s="4">
        <v>20289.0</v>
      </c>
      <c r="B124" s="11">
        <v>45772.0</v>
      </c>
      <c r="C124" s="4" t="s">
        <v>80</v>
      </c>
      <c r="D124" s="4" t="s">
        <v>64</v>
      </c>
      <c r="E124" s="4" t="s">
        <v>59</v>
      </c>
      <c r="F124" s="4" t="s">
        <v>85</v>
      </c>
      <c r="G124" s="4">
        <v>12.0</v>
      </c>
      <c r="H124" s="13">
        <v>433.0</v>
      </c>
      <c r="I124" s="13">
        <v>5196.0</v>
      </c>
      <c r="J124" s="4">
        <v>15.0</v>
      </c>
      <c r="K124" s="13">
        <v>779.0</v>
      </c>
      <c r="L124" s="13">
        <v>4417.0</v>
      </c>
      <c r="M124" s="4" t="s">
        <v>49</v>
      </c>
      <c r="N124" s="4" t="s">
        <v>43</v>
      </c>
      <c r="O124" s="4" t="s">
        <v>57</v>
      </c>
      <c r="P124" s="7"/>
      <c r="Q124" s="7"/>
      <c r="R124" s="7"/>
      <c r="S124" s="7"/>
      <c r="T124" s="7"/>
      <c r="U124" s="7"/>
      <c r="V124" s="7"/>
    </row>
    <row r="125" ht="14.25" customHeight="1">
      <c r="A125" s="4">
        <v>20078.0</v>
      </c>
      <c r="B125" s="11">
        <v>45773.0</v>
      </c>
      <c r="C125" s="4" t="s">
        <v>58</v>
      </c>
      <c r="D125" s="4" t="s">
        <v>25</v>
      </c>
      <c r="E125" s="4" t="s">
        <v>59</v>
      </c>
      <c r="F125" s="4" t="s">
        <v>79</v>
      </c>
      <c r="G125" s="4">
        <v>11.0</v>
      </c>
      <c r="H125" s="13">
        <v>209.0</v>
      </c>
      <c r="I125" s="13">
        <v>2299.0</v>
      </c>
      <c r="J125" s="4">
        <v>15.0</v>
      </c>
      <c r="K125" s="13">
        <v>345.0</v>
      </c>
      <c r="L125" s="13">
        <v>1954.0</v>
      </c>
      <c r="M125" s="4" t="s">
        <v>96</v>
      </c>
      <c r="N125" s="4" t="s">
        <v>43</v>
      </c>
      <c r="O125" s="4" t="s">
        <v>44</v>
      </c>
      <c r="P125" s="7"/>
      <c r="Q125" s="7"/>
      <c r="R125" s="7"/>
      <c r="S125" s="7"/>
      <c r="T125" s="7"/>
      <c r="U125" s="7"/>
      <c r="V125" s="7"/>
    </row>
    <row r="126" ht="14.25" customHeight="1">
      <c r="A126" s="4">
        <v>20197.0</v>
      </c>
      <c r="B126" s="11">
        <v>45773.0</v>
      </c>
      <c r="C126" s="4" t="s">
        <v>89</v>
      </c>
      <c r="D126" s="4" t="s">
        <v>46</v>
      </c>
      <c r="E126" s="4" t="s">
        <v>77</v>
      </c>
      <c r="F126" s="4" t="s">
        <v>110</v>
      </c>
      <c r="G126" s="4">
        <v>15.0</v>
      </c>
      <c r="H126" s="13">
        <v>5507.0</v>
      </c>
      <c r="I126" s="13">
        <v>82605.0</v>
      </c>
      <c r="J126" s="4">
        <v>10.0</v>
      </c>
      <c r="K126" s="13">
        <v>8260.0</v>
      </c>
      <c r="L126" s="13">
        <v>74345.0</v>
      </c>
      <c r="M126" s="4" t="s">
        <v>68</v>
      </c>
      <c r="N126" s="4" t="s">
        <v>43</v>
      </c>
      <c r="O126" s="4" t="s">
        <v>69</v>
      </c>
      <c r="P126" s="7"/>
      <c r="Q126" s="7"/>
      <c r="R126" s="7"/>
      <c r="S126" s="7"/>
      <c r="T126" s="7"/>
      <c r="U126" s="7"/>
      <c r="V126" s="7"/>
    </row>
    <row r="127" ht="14.25" customHeight="1">
      <c r="A127" s="4">
        <v>20211.0</v>
      </c>
      <c r="B127" s="11">
        <v>45775.0</v>
      </c>
      <c r="C127" s="4" t="s">
        <v>99</v>
      </c>
      <c r="D127" s="4" t="s">
        <v>64</v>
      </c>
      <c r="E127" s="4" t="s">
        <v>47</v>
      </c>
      <c r="F127" s="4" t="s">
        <v>27</v>
      </c>
      <c r="G127" s="4">
        <v>5.0</v>
      </c>
      <c r="H127" s="13">
        <v>1347.0</v>
      </c>
      <c r="I127" s="13">
        <v>6735.0</v>
      </c>
      <c r="J127" s="4">
        <v>10.0</v>
      </c>
      <c r="K127" s="13">
        <v>674.0</v>
      </c>
      <c r="L127" s="13">
        <v>6061.0</v>
      </c>
      <c r="M127" s="4" t="s">
        <v>49</v>
      </c>
      <c r="N127" s="4" t="s">
        <v>62</v>
      </c>
      <c r="O127" s="4" t="s">
        <v>69</v>
      </c>
      <c r="P127" s="7"/>
      <c r="Q127" s="7"/>
      <c r="R127" s="7"/>
      <c r="S127" s="7"/>
      <c r="T127" s="7"/>
      <c r="U127" s="7"/>
      <c r="V127" s="7"/>
    </row>
    <row r="128" ht="14.25" customHeight="1">
      <c r="A128" s="4">
        <v>20334.0</v>
      </c>
      <c r="B128" s="11">
        <v>45776.0</v>
      </c>
      <c r="C128" s="4" t="s">
        <v>73</v>
      </c>
      <c r="D128" s="4" t="s">
        <v>52</v>
      </c>
      <c r="E128" s="4" t="s">
        <v>53</v>
      </c>
      <c r="F128" s="4" t="s">
        <v>95</v>
      </c>
      <c r="G128" s="4">
        <v>8.0</v>
      </c>
      <c r="H128" s="13">
        <v>656.0</v>
      </c>
      <c r="I128" s="13">
        <v>5248.0</v>
      </c>
      <c r="J128" s="4">
        <v>0.0</v>
      </c>
      <c r="K128" s="13">
        <v>0.0</v>
      </c>
      <c r="L128" s="13">
        <v>5248.0</v>
      </c>
      <c r="M128" s="4" t="s">
        <v>55</v>
      </c>
      <c r="N128" s="4" t="s">
        <v>43</v>
      </c>
      <c r="O128" s="4" t="s">
        <v>57</v>
      </c>
      <c r="P128" s="7"/>
      <c r="Q128" s="7"/>
      <c r="R128" s="7"/>
      <c r="S128" s="7"/>
      <c r="T128" s="7"/>
      <c r="U128" s="7"/>
      <c r="V128" s="7"/>
    </row>
    <row r="129" ht="14.25" customHeight="1">
      <c r="A129" s="4">
        <v>20194.0</v>
      </c>
      <c r="B129" s="11">
        <v>45777.0</v>
      </c>
      <c r="C129" s="4" t="s">
        <v>99</v>
      </c>
      <c r="D129" s="4" t="s">
        <v>64</v>
      </c>
      <c r="E129" s="4" t="s">
        <v>26</v>
      </c>
      <c r="F129" s="4" t="s">
        <v>100</v>
      </c>
      <c r="G129" s="4">
        <v>9.0</v>
      </c>
      <c r="H129" s="13">
        <v>416.0</v>
      </c>
      <c r="I129" s="13">
        <v>3744.0</v>
      </c>
      <c r="J129" s="4">
        <v>10.0</v>
      </c>
      <c r="K129" s="13">
        <v>374.0</v>
      </c>
      <c r="L129" s="13">
        <v>3370.0</v>
      </c>
      <c r="M129" s="4" t="s">
        <v>49</v>
      </c>
      <c r="N129" s="4" t="s">
        <v>72</v>
      </c>
      <c r="O129" s="4" t="s">
        <v>69</v>
      </c>
      <c r="P129" s="7"/>
      <c r="Q129" s="7"/>
      <c r="R129" s="7"/>
      <c r="S129" s="7"/>
      <c r="T129" s="7"/>
      <c r="U129" s="7"/>
      <c r="V129" s="7"/>
    </row>
    <row r="130" ht="14.25" customHeight="1">
      <c r="A130" s="4">
        <v>20183.0</v>
      </c>
      <c r="B130" s="11">
        <v>45778.0</v>
      </c>
      <c r="C130" s="4" t="s">
        <v>73</v>
      </c>
      <c r="D130" s="4" t="s">
        <v>52</v>
      </c>
      <c r="E130" s="4" t="s">
        <v>53</v>
      </c>
      <c r="F130" s="4" t="s">
        <v>95</v>
      </c>
      <c r="G130" s="4">
        <v>5.0</v>
      </c>
      <c r="H130" s="13">
        <v>1637.0</v>
      </c>
      <c r="I130" s="13">
        <v>8185.0</v>
      </c>
      <c r="J130" s="4">
        <v>0.0</v>
      </c>
      <c r="K130" s="13">
        <v>0.0</v>
      </c>
      <c r="L130" s="13">
        <v>8185.0</v>
      </c>
      <c r="M130" s="4" t="s">
        <v>71</v>
      </c>
      <c r="N130" s="4" t="s">
        <v>43</v>
      </c>
      <c r="O130" s="4" t="s">
        <v>44</v>
      </c>
      <c r="P130" s="7"/>
      <c r="Q130" s="7"/>
      <c r="R130" s="7"/>
      <c r="S130" s="7"/>
      <c r="T130" s="7"/>
      <c r="U130" s="7"/>
      <c r="V130" s="7"/>
    </row>
    <row r="131" ht="14.25" customHeight="1">
      <c r="A131" s="4">
        <v>20161.0</v>
      </c>
      <c r="B131" s="11">
        <v>45781.0</v>
      </c>
      <c r="C131" s="4" t="s">
        <v>73</v>
      </c>
      <c r="D131" s="4" t="s">
        <v>52</v>
      </c>
      <c r="E131" s="4" t="s">
        <v>26</v>
      </c>
      <c r="F131" s="4" t="s">
        <v>74</v>
      </c>
      <c r="G131" s="4">
        <v>8.0</v>
      </c>
      <c r="H131" s="13">
        <v>373.0</v>
      </c>
      <c r="I131" s="13">
        <v>2984.0</v>
      </c>
      <c r="J131" s="4">
        <v>5.0</v>
      </c>
      <c r="K131" s="13">
        <v>149.0</v>
      </c>
      <c r="L131" s="13">
        <v>2835.0</v>
      </c>
      <c r="M131" s="4" t="s">
        <v>49</v>
      </c>
      <c r="N131" s="4" t="s">
        <v>43</v>
      </c>
      <c r="O131" s="4" t="s">
        <v>69</v>
      </c>
      <c r="P131" s="7"/>
      <c r="Q131" s="7"/>
      <c r="R131" s="7"/>
      <c r="S131" s="7"/>
      <c r="T131" s="7"/>
      <c r="U131" s="7"/>
      <c r="V131" s="7"/>
    </row>
    <row r="132" ht="14.25" customHeight="1">
      <c r="A132" s="4">
        <v>20193.0</v>
      </c>
      <c r="B132" s="11">
        <v>45781.0</v>
      </c>
      <c r="C132" s="4" t="s">
        <v>99</v>
      </c>
      <c r="D132" s="4" t="s">
        <v>64</v>
      </c>
      <c r="E132" s="4" t="s">
        <v>26</v>
      </c>
      <c r="F132" s="4" t="s">
        <v>104</v>
      </c>
      <c r="G132" s="4">
        <v>10.0</v>
      </c>
      <c r="H132" s="13">
        <v>154.0</v>
      </c>
      <c r="I132" s="13">
        <v>1540.0</v>
      </c>
      <c r="J132" s="4">
        <v>0.0</v>
      </c>
      <c r="K132" s="13">
        <v>0.0</v>
      </c>
      <c r="L132" s="13">
        <v>1540.0</v>
      </c>
      <c r="M132" s="4" t="s">
        <v>81</v>
      </c>
      <c r="N132" s="4" t="s">
        <v>43</v>
      </c>
      <c r="O132" s="4" t="s">
        <v>44</v>
      </c>
      <c r="P132" s="7"/>
      <c r="Q132" s="7"/>
      <c r="R132" s="7"/>
      <c r="S132" s="7"/>
      <c r="T132" s="7"/>
      <c r="U132" s="7"/>
      <c r="V132" s="7"/>
    </row>
    <row r="133" ht="14.25" customHeight="1">
      <c r="A133" s="4">
        <v>20406.0</v>
      </c>
      <c r="B133" s="11">
        <v>45781.0</v>
      </c>
      <c r="C133" s="4" t="s">
        <v>66</v>
      </c>
      <c r="D133" s="4" t="s">
        <v>46</v>
      </c>
      <c r="E133" s="4" t="s">
        <v>77</v>
      </c>
      <c r="F133" s="4" t="s">
        <v>78</v>
      </c>
      <c r="G133" s="4">
        <v>4.0</v>
      </c>
      <c r="H133" s="13">
        <v>7751.0</v>
      </c>
      <c r="I133" s="13">
        <v>31004.0</v>
      </c>
      <c r="J133" s="4">
        <v>20.0</v>
      </c>
      <c r="K133" s="13">
        <v>6201.0</v>
      </c>
      <c r="L133" s="13">
        <v>24803.0</v>
      </c>
      <c r="M133" s="4" t="s">
        <v>71</v>
      </c>
      <c r="N133" s="4" t="s">
        <v>62</v>
      </c>
      <c r="O133" s="4" t="s">
        <v>69</v>
      </c>
      <c r="P133" s="7"/>
      <c r="Q133" s="7"/>
      <c r="R133" s="7"/>
      <c r="S133" s="7"/>
      <c r="T133" s="7"/>
      <c r="U133" s="7"/>
      <c r="V133" s="7"/>
    </row>
    <row r="134" ht="14.25" customHeight="1">
      <c r="A134" s="4">
        <v>20027.0</v>
      </c>
      <c r="B134" s="11">
        <v>45783.0</v>
      </c>
      <c r="C134" s="4" t="s">
        <v>45</v>
      </c>
      <c r="D134" s="4" t="s">
        <v>46</v>
      </c>
      <c r="E134" s="4" t="s">
        <v>53</v>
      </c>
      <c r="F134" s="4" t="s">
        <v>75</v>
      </c>
      <c r="G134" s="4">
        <v>8.0</v>
      </c>
      <c r="H134" s="13">
        <v>1638.0</v>
      </c>
      <c r="I134" s="13">
        <v>13104.0</v>
      </c>
      <c r="J134" s="4">
        <v>15.0</v>
      </c>
      <c r="K134" s="13">
        <v>1966.0</v>
      </c>
      <c r="L134" s="13">
        <v>11138.0</v>
      </c>
      <c r="M134" s="4" t="s">
        <v>87</v>
      </c>
      <c r="N134" s="4" t="s">
        <v>72</v>
      </c>
      <c r="O134" s="4" t="s">
        <v>57</v>
      </c>
      <c r="P134" s="7"/>
      <c r="Q134" s="7"/>
      <c r="R134" s="7"/>
      <c r="S134" s="7"/>
      <c r="T134" s="7"/>
      <c r="U134" s="7"/>
      <c r="V134" s="7"/>
    </row>
    <row r="135" ht="14.25" customHeight="1">
      <c r="A135" s="4">
        <v>20058.0</v>
      </c>
      <c r="B135" s="11">
        <v>45783.0</v>
      </c>
      <c r="C135" s="4" t="s">
        <v>92</v>
      </c>
      <c r="D135" s="4" t="s">
        <v>25</v>
      </c>
      <c r="E135" s="4" t="s">
        <v>53</v>
      </c>
      <c r="F135" s="4" t="s">
        <v>48</v>
      </c>
      <c r="G135" s="4">
        <v>4.0</v>
      </c>
      <c r="H135" s="13">
        <v>1548.0</v>
      </c>
      <c r="I135" s="13">
        <v>6192.0</v>
      </c>
      <c r="J135" s="4">
        <v>0.0</v>
      </c>
      <c r="K135" s="13">
        <v>0.0</v>
      </c>
      <c r="L135" s="13">
        <v>6192.0</v>
      </c>
      <c r="M135" s="4" t="s">
        <v>81</v>
      </c>
      <c r="N135" s="4" t="s">
        <v>43</v>
      </c>
      <c r="O135" s="4" t="s">
        <v>44</v>
      </c>
      <c r="P135" s="7"/>
      <c r="Q135" s="7"/>
      <c r="R135" s="7"/>
      <c r="S135" s="7"/>
      <c r="T135" s="7"/>
      <c r="U135" s="7"/>
      <c r="V135" s="7"/>
    </row>
    <row r="136" ht="14.25" customHeight="1">
      <c r="A136" s="4">
        <v>20280.0</v>
      </c>
      <c r="B136" s="11">
        <v>45783.0</v>
      </c>
      <c r="C136" s="4" t="s">
        <v>89</v>
      </c>
      <c r="D136" s="4" t="s">
        <v>46</v>
      </c>
      <c r="E136" s="4" t="s">
        <v>59</v>
      </c>
      <c r="F136" s="4" t="s">
        <v>86</v>
      </c>
      <c r="G136" s="4">
        <v>15.0</v>
      </c>
      <c r="H136" s="13">
        <v>203.0</v>
      </c>
      <c r="I136" s="13">
        <v>3045.0</v>
      </c>
      <c r="J136" s="4">
        <v>0.0</v>
      </c>
      <c r="K136" s="13">
        <v>0.0</v>
      </c>
      <c r="L136" s="13">
        <v>3045.0</v>
      </c>
      <c r="M136" s="4" t="s">
        <v>61</v>
      </c>
      <c r="N136" s="4" t="s">
        <v>50</v>
      </c>
      <c r="O136" s="4" t="s">
        <v>57</v>
      </c>
      <c r="P136" s="7"/>
      <c r="Q136" s="7"/>
      <c r="R136" s="7"/>
      <c r="S136" s="7"/>
      <c r="T136" s="7"/>
      <c r="U136" s="7"/>
      <c r="V136" s="7"/>
    </row>
    <row r="137" ht="14.25" customHeight="1">
      <c r="A137" s="4">
        <v>20045.0</v>
      </c>
      <c r="B137" s="11">
        <v>45784.0</v>
      </c>
      <c r="C137" s="4" t="s">
        <v>66</v>
      </c>
      <c r="D137" s="4" t="s">
        <v>46</v>
      </c>
      <c r="E137" s="4" t="s">
        <v>47</v>
      </c>
      <c r="F137" s="4" t="s">
        <v>27</v>
      </c>
      <c r="G137" s="4">
        <v>11.0</v>
      </c>
      <c r="H137" s="13">
        <v>1369.0</v>
      </c>
      <c r="I137" s="13">
        <v>15059.0</v>
      </c>
      <c r="J137" s="4">
        <v>0.0</v>
      </c>
      <c r="K137" s="13">
        <v>0.0</v>
      </c>
      <c r="L137" s="13">
        <v>15059.0</v>
      </c>
      <c r="M137" s="4" t="s">
        <v>96</v>
      </c>
      <c r="N137" s="4" t="s">
        <v>72</v>
      </c>
      <c r="O137" s="4" t="s">
        <v>44</v>
      </c>
      <c r="P137" s="7"/>
      <c r="Q137" s="7"/>
      <c r="R137" s="7"/>
      <c r="S137" s="7"/>
      <c r="T137" s="7"/>
      <c r="U137" s="7"/>
      <c r="V137" s="7"/>
    </row>
    <row r="138" ht="14.25" customHeight="1">
      <c r="A138" s="4">
        <v>20292.0</v>
      </c>
      <c r="B138" s="11">
        <v>45785.0</v>
      </c>
      <c r="C138" s="4" t="s">
        <v>92</v>
      </c>
      <c r="D138" s="4" t="s">
        <v>25</v>
      </c>
      <c r="E138" s="4" t="s">
        <v>53</v>
      </c>
      <c r="F138" s="4" t="s">
        <v>95</v>
      </c>
      <c r="G138" s="4">
        <v>13.0</v>
      </c>
      <c r="H138" s="13">
        <v>301.0</v>
      </c>
      <c r="I138" s="13">
        <v>3913.0</v>
      </c>
      <c r="J138" s="4">
        <v>5.0</v>
      </c>
      <c r="K138" s="13">
        <v>196.0</v>
      </c>
      <c r="L138" s="13">
        <v>3717.0</v>
      </c>
      <c r="M138" s="4" t="s">
        <v>61</v>
      </c>
      <c r="N138" s="4" t="s">
        <v>50</v>
      </c>
      <c r="O138" s="4" t="s">
        <v>44</v>
      </c>
      <c r="P138" s="7"/>
      <c r="Q138" s="7"/>
      <c r="R138" s="7"/>
      <c r="S138" s="7"/>
      <c r="T138" s="7"/>
      <c r="U138" s="7"/>
      <c r="V138" s="7"/>
    </row>
    <row r="139" ht="14.25" customHeight="1">
      <c r="A139" s="4">
        <v>20310.0</v>
      </c>
      <c r="B139" s="11">
        <v>45785.0</v>
      </c>
      <c r="C139" s="4" t="s">
        <v>93</v>
      </c>
      <c r="D139" s="4" t="s">
        <v>25</v>
      </c>
      <c r="E139" s="4" t="s">
        <v>59</v>
      </c>
      <c r="F139" s="4" t="s">
        <v>79</v>
      </c>
      <c r="G139" s="4">
        <v>15.0</v>
      </c>
      <c r="H139" s="13">
        <v>200.0</v>
      </c>
      <c r="I139" s="13">
        <v>3000.0</v>
      </c>
      <c r="J139" s="4">
        <v>20.0</v>
      </c>
      <c r="K139" s="13">
        <v>600.0</v>
      </c>
      <c r="L139" s="13">
        <v>2400.0</v>
      </c>
      <c r="M139" s="4" t="s">
        <v>42</v>
      </c>
      <c r="N139" s="4" t="s">
        <v>56</v>
      </c>
      <c r="O139" s="4" t="s">
        <v>44</v>
      </c>
      <c r="P139" s="7"/>
      <c r="Q139" s="7"/>
      <c r="R139" s="7"/>
      <c r="S139" s="7"/>
      <c r="T139" s="7"/>
      <c r="U139" s="7"/>
      <c r="V139" s="7"/>
    </row>
    <row r="140" ht="14.25" customHeight="1">
      <c r="A140" s="4">
        <v>20101.0</v>
      </c>
      <c r="B140" s="11">
        <v>45786.0</v>
      </c>
      <c r="C140" s="4" t="s">
        <v>80</v>
      </c>
      <c r="D140" s="4" t="s">
        <v>64</v>
      </c>
      <c r="E140" s="4" t="s">
        <v>26</v>
      </c>
      <c r="F140" s="4" t="s">
        <v>94</v>
      </c>
      <c r="G140" s="4">
        <v>14.0</v>
      </c>
      <c r="H140" s="13">
        <v>146.0</v>
      </c>
      <c r="I140" s="13">
        <v>2044.0</v>
      </c>
      <c r="J140" s="4">
        <v>10.0</v>
      </c>
      <c r="K140" s="13">
        <v>204.0</v>
      </c>
      <c r="L140" s="13">
        <v>1840.0</v>
      </c>
      <c r="M140" s="4" t="s">
        <v>55</v>
      </c>
      <c r="N140" s="4" t="s">
        <v>62</v>
      </c>
      <c r="O140" s="4" t="s">
        <v>69</v>
      </c>
      <c r="P140" s="7"/>
      <c r="Q140" s="7"/>
      <c r="R140" s="7"/>
      <c r="S140" s="7"/>
      <c r="T140" s="7"/>
      <c r="U140" s="7"/>
      <c r="V140" s="7"/>
    </row>
    <row r="141" ht="14.25" customHeight="1">
      <c r="A141" s="4">
        <v>20133.0</v>
      </c>
      <c r="B141" s="11">
        <v>45786.0</v>
      </c>
      <c r="C141" s="4" t="s">
        <v>93</v>
      </c>
      <c r="D141" s="4" t="s">
        <v>25</v>
      </c>
      <c r="E141" s="4" t="s">
        <v>59</v>
      </c>
      <c r="F141" s="4" t="s">
        <v>85</v>
      </c>
      <c r="G141" s="4">
        <v>9.0</v>
      </c>
      <c r="H141" s="13">
        <v>123.0</v>
      </c>
      <c r="I141" s="13">
        <v>1107.0</v>
      </c>
      <c r="J141" s="4">
        <v>0.0</v>
      </c>
      <c r="K141" s="13">
        <v>0.0</v>
      </c>
      <c r="L141" s="13">
        <v>1107.0</v>
      </c>
      <c r="M141" s="4" t="s">
        <v>68</v>
      </c>
      <c r="N141" s="4" t="s">
        <v>72</v>
      </c>
      <c r="O141" s="4" t="s">
        <v>44</v>
      </c>
      <c r="P141" s="7"/>
      <c r="Q141" s="7"/>
      <c r="R141" s="7"/>
      <c r="S141" s="7"/>
      <c r="T141" s="7"/>
      <c r="U141" s="7"/>
      <c r="V141" s="7"/>
    </row>
    <row r="142" ht="14.25" customHeight="1">
      <c r="A142" s="4">
        <v>20414.0</v>
      </c>
      <c r="B142" s="11">
        <v>45786.0</v>
      </c>
      <c r="C142" s="4" t="s">
        <v>93</v>
      </c>
      <c r="D142" s="4" t="s">
        <v>25</v>
      </c>
      <c r="E142" s="4" t="s">
        <v>59</v>
      </c>
      <c r="F142" s="4" t="s">
        <v>79</v>
      </c>
      <c r="G142" s="4">
        <v>12.0</v>
      </c>
      <c r="H142" s="13">
        <v>190.0</v>
      </c>
      <c r="I142" s="13">
        <v>2280.0</v>
      </c>
      <c r="J142" s="4">
        <v>20.0</v>
      </c>
      <c r="K142" s="13">
        <v>456.0</v>
      </c>
      <c r="L142" s="13">
        <v>1824.0</v>
      </c>
      <c r="M142" s="4" t="s">
        <v>71</v>
      </c>
      <c r="N142" s="4" t="s">
        <v>43</v>
      </c>
      <c r="O142" s="4" t="s">
        <v>57</v>
      </c>
      <c r="P142" s="7"/>
      <c r="Q142" s="7"/>
      <c r="R142" s="7"/>
      <c r="S142" s="7"/>
      <c r="T142" s="7"/>
      <c r="U142" s="7"/>
      <c r="V142" s="7"/>
    </row>
    <row r="143" ht="14.25" customHeight="1">
      <c r="A143" s="4">
        <v>20198.0</v>
      </c>
      <c r="B143" s="11">
        <v>45788.0</v>
      </c>
      <c r="C143" s="4" t="s">
        <v>99</v>
      </c>
      <c r="D143" s="4" t="s">
        <v>64</v>
      </c>
      <c r="E143" s="4" t="s">
        <v>53</v>
      </c>
      <c r="F143" s="4" t="s">
        <v>98</v>
      </c>
      <c r="G143" s="4">
        <v>2.0</v>
      </c>
      <c r="H143" s="13">
        <v>1058.0</v>
      </c>
      <c r="I143" s="13">
        <v>2116.0</v>
      </c>
      <c r="J143" s="4">
        <v>15.0</v>
      </c>
      <c r="K143" s="13">
        <v>317.0</v>
      </c>
      <c r="L143" s="13">
        <v>1799.0</v>
      </c>
      <c r="M143" s="4" t="s">
        <v>106</v>
      </c>
      <c r="N143" s="4" t="s">
        <v>62</v>
      </c>
      <c r="O143" s="4" t="s">
        <v>44</v>
      </c>
      <c r="P143" s="7"/>
      <c r="Q143" s="7"/>
      <c r="R143" s="7"/>
      <c r="S143" s="7"/>
      <c r="T143" s="7"/>
      <c r="U143" s="7"/>
      <c r="V143" s="7"/>
    </row>
    <row r="144" ht="14.25" customHeight="1">
      <c r="A144" s="4">
        <v>20262.0</v>
      </c>
      <c r="B144" s="11">
        <v>45790.0</v>
      </c>
      <c r="C144" s="4" t="s">
        <v>80</v>
      </c>
      <c r="D144" s="4" t="s">
        <v>64</v>
      </c>
      <c r="E144" s="4" t="s">
        <v>53</v>
      </c>
      <c r="F144" s="4" t="s">
        <v>75</v>
      </c>
      <c r="G144" s="4">
        <v>12.0</v>
      </c>
      <c r="H144" s="13">
        <v>540.0</v>
      </c>
      <c r="I144" s="13">
        <v>6480.0</v>
      </c>
      <c r="J144" s="4">
        <v>20.0</v>
      </c>
      <c r="K144" s="13">
        <v>1296.0</v>
      </c>
      <c r="L144" s="13">
        <v>5184.0</v>
      </c>
      <c r="M144" s="4" t="s">
        <v>61</v>
      </c>
      <c r="N144" s="4" t="s">
        <v>72</v>
      </c>
      <c r="O144" s="4" t="s">
        <v>57</v>
      </c>
      <c r="P144" s="7"/>
      <c r="Q144" s="7"/>
      <c r="R144" s="7"/>
      <c r="S144" s="7"/>
      <c r="T144" s="7"/>
      <c r="U144" s="7"/>
      <c r="V144" s="7"/>
    </row>
    <row r="145" ht="14.25" customHeight="1">
      <c r="A145" s="4">
        <v>20051.0</v>
      </c>
      <c r="B145" s="11">
        <v>45791.0</v>
      </c>
      <c r="C145" s="4" t="s">
        <v>51</v>
      </c>
      <c r="D145" s="4" t="s">
        <v>52</v>
      </c>
      <c r="E145" s="4" t="s">
        <v>53</v>
      </c>
      <c r="F145" s="4" t="s">
        <v>75</v>
      </c>
      <c r="G145" s="4">
        <v>8.0</v>
      </c>
      <c r="H145" s="13">
        <v>1857.0</v>
      </c>
      <c r="I145" s="13">
        <v>14856.0</v>
      </c>
      <c r="J145" s="4">
        <v>20.0</v>
      </c>
      <c r="K145" s="13">
        <v>2971.0</v>
      </c>
      <c r="L145" s="13">
        <v>11885.0</v>
      </c>
      <c r="M145" s="4" t="s">
        <v>61</v>
      </c>
      <c r="N145" s="4" t="s">
        <v>72</v>
      </c>
      <c r="O145" s="4" t="s">
        <v>69</v>
      </c>
      <c r="P145" s="7"/>
      <c r="Q145" s="7"/>
      <c r="R145" s="7"/>
      <c r="S145" s="7"/>
      <c r="T145" s="7"/>
      <c r="U145" s="7"/>
      <c r="V145" s="7"/>
    </row>
    <row r="146" ht="14.25" customHeight="1">
      <c r="A146" s="4">
        <v>20401.0</v>
      </c>
      <c r="B146" s="11">
        <v>45791.0</v>
      </c>
      <c r="C146" s="4" t="s">
        <v>80</v>
      </c>
      <c r="D146" s="4" t="s">
        <v>64</v>
      </c>
      <c r="E146" s="4" t="s">
        <v>59</v>
      </c>
      <c r="F146" s="4" t="s">
        <v>83</v>
      </c>
      <c r="G146" s="4">
        <v>2.0</v>
      </c>
      <c r="H146" s="13">
        <v>234.0</v>
      </c>
      <c r="I146" s="13">
        <v>468.0</v>
      </c>
      <c r="J146" s="4">
        <v>20.0</v>
      </c>
      <c r="K146" s="13">
        <v>94.0</v>
      </c>
      <c r="L146" s="13">
        <v>374.0</v>
      </c>
      <c r="M146" s="4" t="s">
        <v>87</v>
      </c>
      <c r="N146" s="4" t="s">
        <v>72</v>
      </c>
      <c r="O146" s="4" t="s">
        <v>57</v>
      </c>
      <c r="P146" s="7"/>
      <c r="Q146" s="7"/>
      <c r="R146" s="7"/>
      <c r="S146" s="7"/>
      <c r="T146" s="7"/>
      <c r="U146" s="7"/>
      <c r="V146" s="7"/>
    </row>
    <row r="147" ht="14.25" customHeight="1">
      <c r="A147" s="4">
        <v>20381.0</v>
      </c>
      <c r="B147" s="11">
        <v>45792.0</v>
      </c>
      <c r="C147" s="4" t="s">
        <v>80</v>
      </c>
      <c r="D147" s="4" t="s">
        <v>64</v>
      </c>
      <c r="E147" s="4" t="s">
        <v>59</v>
      </c>
      <c r="F147" s="4" t="s">
        <v>86</v>
      </c>
      <c r="G147" s="4">
        <v>6.0</v>
      </c>
      <c r="H147" s="13">
        <v>252.0</v>
      </c>
      <c r="I147" s="13">
        <v>1512.0</v>
      </c>
      <c r="J147" s="4">
        <v>10.0</v>
      </c>
      <c r="K147" s="13">
        <v>151.0</v>
      </c>
      <c r="L147" s="13">
        <v>1361.0</v>
      </c>
      <c r="M147" s="4" t="s">
        <v>61</v>
      </c>
      <c r="N147" s="4" t="s">
        <v>72</v>
      </c>
      <c r="O147" s="4" t="s">
        <v>44</v>
      </c>
      <c r="P147" s="7"/>
      <c r="Q147" s="7"/>
      <c r="R147" s="7"/>
      <c r="S147" s="7"/>
      <c r="T147" s="7"/>
      <c r="U147" s="7"/>
      <c r="V147" s="7"/>
    </row>
    <row r="148" ht="14.25" customHeight="1">
      <c r="A148" s="4">
        <v>20102.0</v>
      </c>
      <c r="B148" s="11">
        <v>45793.0</v>
      </c>
      <c r="C148" s="4" t="s">
        <v>93</v>
      </c>
      <c r="D148" s="4" t="s">
        <v>25</v>
      </c>
      <c r="E148" s="4" t="s">
        <v>77</v>
      </c>
      <c r="F148" s="4" t="s">
        <v>105</v>
      </c>
      <c r="G148" s="4">
        <v>7.0</v>
      </c>
      <c r="H148" s="13">
        <v>7008.0</v>
      </c>
      <c r="I148" s="13">
        <v>49056.0</v>
      </c>
      <c r="J148" s="4">
        <v>20.0</v>
      </c>
      <c r="K148" s="13">
        <v>9811.0</v>
      </c>
      <c r="L148" s="13">
        <v>39245.0</v>
      </c>
      <c r="M148" s="4" t="s">
        <v>55</v>
      </c>
      <c r="N148" s="4" t="s">
        <v>56</v>
      </c>
      <c r="O148" s="4" t="s">
        <v>57</v>
      </c>
      <c r="P148" s="7"/>
      <c r="Q148" s="7"/>
      <c r="R148" s="7"/>
      <c r="S148" s="7"/>
      <c r="T148" s="7"/>
      <c r="U148" s="7"/>
      <c r="V148" s="7"/>
    </row>
    <row r="149" ht="14.25" customHeight="1">
      <c r="A149" s="4">
        <v>20145.0</v>
      </c>
      <c r="B149" s="11">
        <v>45794.0</v>
      </c>
      <c r="C149" s="4" t="s">
        <v>92</v>
      </c>
      <c r="D149" s="4" t="s">
        <v>25</v>
      </c>
      <c r="E149" s="4" t="s">
        <v>59</v>
      </c>
      <c r="F149" s="4" t="s">
        <v>79</v>
      </c>
      <c r="G149" s="4">
        <v>7.0</v>
      </c>
      <c r="H149" s="13">
        <v>224.0</v>
      </c>
      <c r="I149" s="13">
        <v>1568.0</v>
      </c>
      <c r="J149" s="4">
        <v>0.0</v>
      </c>
      <c r="K149" s="13">
        <v>0.0</v>
      </c>
      <c r="L149" s="13">
        <v>1568.0</v>
      </c>
      <c r="M149" s="4" t="s">
        <v>55</v>
      </c>
      <c r="N149" s="4" t="s">
        <v>72</v>
      </c>
      <c r="O149" s="4" t="s">
        <v>44</v>
      </c>
      <c r="P149" s="7"/>
      <c r="Q149" s="7"/>
      <c r="R149" s="7"/>
      <c r="S149" s="7"/>
      <c r="T149" s="7"/>
      <c r="U149" s="7"/>
      <c r="V149" s="7"/>
    </row>
    <row r="150" ht="14.25" customHeight="1">
      <c r="A150" s="4">
        <v>20245.0</v>
      </c>
      <c r="B150" s="11">
        <v>45795.0</v>
      </c>
      <c r="C150" s="4" t="s">
        <v>24</v>
      </c>
      <c r="D150" s="4" t="s">
        <v>52</v>
      </c>
      <c r="E150" s="4" t="s">
        <v>59</v>
      </c>
      <c r="F150" s="4" t="s">
        <v>86</v>
      </c>
      <c r="G150" s="4">
        <v>2.0</v>
      </c>
      <c r="H150" s="13">
        <v>443.0</v>
      </c>
      <c r="I150" s="13">
        <v>886.0</v>
      </c>
      <c r="J150" s="4">
        <v>15.0</v>
      </c>
      <c r="K150" s="13">
        <v>133.0</v>
      </c>
      <c r="L150" s="13">
        <v>753.0</v>
      </c>
      <c r="M150" s="4" t="s">
        <v>55</v>
      </c>
      <c r="N150" s="4" t="s">
        <v>43</v>
      </c>
      <c r="O150" s="4" t="s">
        <v>44</v>
      </c>
      <c r="P150" s="7"/>
      <c r="Q150" s="7"/>
      <c r="R150" s="7"/>
      <c r="S150" s="7"/>
      <c r="T150" s="7"/>
      <c r="U150" s="7"/>
      <c r="V150" s="7"/>
    </row>
    <row r="151" ht="14.25" customHeight="1">
      <c r="A151" s="4">
        <v>20247.0</v>
      </c>
      <c r="B151" s="11">
        <v>45795.0</v>
      </c>
      <c r="C151" s="4" t="s">
        <v>84</v>
      </c>
      <c r="D151" s="4" t="s">
        <v>46</v>
      </c>
      <c r="E151" s="4" t="s">
        <v>53</v>
      </c>
      <c r="F151" s="4" t="s">
        <v>95</v>
      </c>
      <c r="G151" s="4">
        <v>9.0</v>
      </c>
      <c r="H151" s="13">
        <v>1292.0</v>
      </c>
      <c r="I151" s="13">
        <v>11628.0</v>
      </c>
      <c r="J151" s="4">
        <v>0.0</v>
      </c>
      <c r="K151" s="13">
        <v>0.0</v>
      </c>
      <c r="L151" s="13">
        <v>11628.0</v>
      </c>
      <c r="M151" s="4" t="s">
        <v>71</v>
      </c>
      <c r="N151" s="4" t="s">
        <v>43</v>
      </c>
      <c r="O151" s="4" t="s">
        <v>69</v>
      </c>
      <c r="P151" s="7"/>
      <c r="Q151" s="7"/>
      <c r="R151" s="7"/>
      <c r="S151" s="7"/>
      <c r="T151" s="7"/>
      <c r="U151" s="7"/>
      <c r="V151" s="7"/>
    </row>
    <row r="152" ht="14.25" customHeight="1">
      <c r="A152" s="4">
        <v>20282.0</v>
      </c>
      <c r="B152" s="11">
        <v>45796.0</v>
      </c>
      <c r="C152" s="4" t="s">
        <v>80</v>
      </c>
      <c r="D152" s="4" t="s">
        <v>64</v>
      </c>
      <c r="E152" s="4" t="s">
        <v>26</v>
      </c>
      <c r="F152" s="4" t="s">
        <v>74</v>
      </c>
      <c r="G152" s="4">
        <v>10.0</v>
      </c>
      <c r="H152" s="13">
        <v>344.0</v>
      </c>
      <c r="I152" s="13">
        <v>3440.0</v>
      </c>
      <c r="J152" s="4">
        <v>20.0</v>
      </c>
      <c r="K152" s="13">
        <v>688.0</v>
      </c>
      <c r="L152" s="13">
        <v>2752.0</v>
      </c>
      <c r="M152" s="4" t="s">
        <v>42</v>
      </c>
      <c r="N152" s="4" t="s">
        <v>56</v>
      </c>
      <c r="O152" s="4" t="s">
        <v>44</v>
      </c>
      <c r="P152" s="7"/>
      <c r="Q152" s="7"/>
      <c r="R152" s="7"/>
      <c r="S152" s="7"/>
      <c r="T152" s="7"/>
      <c r="U152" s="7"/>
      <c r="V152" s="7"/>
    </row>
    <row r="153" ht="14.25" customHeight="1">
      <c r="A153" s="4">
        <v>20114.0</v>
      </c>
      <c r="B153" s="11">
        <v>45797.0</v>
      </c>
      <c r="C153" s="4" t="s">
        <v>99</v>
      </c>
      <c r="D153" s="4" t="s">
        <v>64</v>
      </c>
      <c r="E153" s="4" t="s">
        <v>47</v>
      </c>
      <c r="F153" s="4" t="s">
        <v>91</v>
      </c>
      <c r="G153" s="4">
        <v>6.0</v>
      </c>
      <c r="H153" s="13">
        <v>2192.0</v>
      </c>
      <c r="I153" s="13">
        <v>13152.0</v>
      </c>
      <c r="J153" s="4">
        <v>10.0</v>
      </c>
      <c r="K153" s="13">
        <v>1315.0</v>
      </c>
      <c r="L153" s="13">
        <v>11837.0</v>
      </c>
      <c r="M153" s="4" t="s">
        <v>96</v>
      </c>
      <c r="N153" s="4" t="s">
        <v>62</v>
      </c>
      <c r="O153" s="4" t="s">
        <v>69</v>
      </c>
      <c r="P153" s="7"/>
      <c r="Q153" s="7"/>
      <c r="R153" s="7"/>
      <c r="S153" s="7"/>
      <c r="T153" s="7"/>
      <c r="U153" s="7"/>
      <c r="V153" s="7"/>
    </row>
    <row r="154" ht="14.25" customHeight="1">
      <c r="A154" s="4">
        <v>20035.0</v>
      </c>
      <c r="B154" s="11">
        <v>45800.0</v>
      </c>
      <c r="C154" s="4" t="s">
        <v>45</v>
      </c>
      <c r="D154" s="4" t="s">
        <v>46</v>
      </c>
      <c r="E154" s="4" t="s">
        <v>47</v>
      </c>
      <c r="F154" s="4" t="s">
        <v>27</v>
      </c>
      <c r="G154" s="4">
        <v>11.0</v>
      </c>
      <c r="H154" s="13">
        <v>930.0</v>
      </c>
      <c r="I154" s="13">
        <v>10230.0</v>
      </c>
      <c r="J154" s="4">
        <v>10.0</v>
      </c>
      <c r="K154" s="13">
        <v>1023.0</v>
      </c>
      <c r="L154" s="13">
        <v>9207.0</v>
      </c>
      <c r="M154" s="4" t="s">
        <v>96</v>
      </c>
      <c r="N154" s="4" t="s">
        <v>62</v>
      </c>
      <c r="O154" s="4" t="s">
        <v>69</v>
      </c>
      <c r="P154" s="7"/>
      <c r="Q154" s="7"/>
      <c r="R154" s="7"/>
      <c r="S154" s="7"/>
      <c r="T154" s="7"/>
      <c r="U154" s="7"/>
      <c r="V154" s="7"/>
    </row>
    <row r="155" ht="14.25" customHeight="1">
      <c r="A155" s="4">
        <v>20223.0</v>
      </c>
      <c r="B155" s="11">
        <v>45801.0</v>
      </c>
      <c r="C155" s="4" t="s">
        <v>51</v>
      </c>
      <c r="D155" s="4" t="s">
        <v>52</v>
      </c>
      <c r="E155" s="4" t="s">
        <v>53</v>
      </c>
      <c r="F155" s="4" t="s">
        <v>102</v>
      </c>
      <c r="G155" s="4">
        <v>15.0</v>
      </c>
      <c r="H155" s="13">
        <v>1416.0</v>
      </c>
      <c r="I155" s="13">
        <v>21240.0</v>
      </c>
      <c r="J155" s="4">
        <v>0.0</v>
      </c>
      <c r="K155" s="13">
        <v>0.0</v>
      </c>
      <c r="L155" s="13">
        <v>21240.0</v>
      </c>
      <c r="M155" s="4" t="s">
        <v>42</v>
      </c>
      <c r="N155" s="4" t="s">
        <v>50</v>
      </c>
      <c r="O155" s="4" t="s">
        <v>44</v>
      </c>
      <c r="P155" s="7"/>
      <c r="Q155" s="7"/>
      <c r="R155" s="7"/>
      <c r="S155" s="7"/>
      <c r="T155" s="7"/>
      <c r="U155" s="7"/>
      <c r="V155" s="7"/>
    </row>
    <row r="156" ht="14.25" customHeight="1">
      <c r="A156" s="4">
        <v>20136.0</v>
      </c>
      <c r="B156" s="11">
        <v>45804.0</v>
      </c>
      <c r="C156" s="4" t="s">
        <v>82</v>
      </c>
      <c r="D156" s="4" t="s">
        <v>52</v>
      </c>
      <c r="E156" s="4" t="s">
        <v>77</v>
      </c>
      <c r="F156" s="4" t="s">
        <v>105</v>
      </c>
      <c r="G156" s="4">
        <v>8.0</v>
      </c>
      <c r="H156" s="13">
        <v>5940.0</v>
      </c>
      <c r="I156" s="13">
        <v>47520.0</v>
      </c>
      <c r="J156" s="4">
        <v>0.0</v>
      </c>
      <c r="K156" s="13">
        <v>0.0</v>
      </c>
      <c r="L156" s="13">
        <v>47520.0</v>
      </c>
      <c r="M156" s="4" t="s">
        <v>106</v>
      </c>
      <c r="N156" s="4" t="s">
        <v>50</v>
      </c>
      <c r="O156" s="4" t="s">
        <v>57</v>
      </c>
      <c r="P156" s="7"/>
      <c r="Q156" s="7"/>
      <c r="R156" s="7"/>
      <c r="S156" s="7"/>
      <c r="T156" s="7"/>
      <c r="U156" s="7"/>
      <c r="V156" s="7"/>
    </row>
    <row r="157" ht="14.25" customHeight="1">
      <c r="A157" s="4">
        <v>20175.0</v>
      </c>
      <c r="B157" s="11">
        <v>45806.0</v>
      </c>
      <c r="C157" s="4" t="s">
        <v>93</v>
      </c>
      <c r="D157" s="4" t="s">
        <v>25</v>
      </c>
      <c r="E157" s="4" t="s">
        <v>53</v>
      </c>
      <c r="F157" s="4" t="s">
        <v>98</v>
      </c>
      <c r="G157" s="4">
        <v>2.0</v>
      </c>
      <c r="H157" s="13">
        <v>1204.0</v>
      </c>
      <c r="I157" s="13">
        <v>2408.0</v>
      </c>
      <c r="J157" s="4">
        <v>15.0</v>
      </c>
      <c r="K157" s="13">
        <v>361.0</v>
      </c>
      <c r="L157" s="13">
        <v>2047.0</v>
      </c>
      <c r="M157" s="4" t="s">
        <v>42</v>
      </c>
      <c r="N157" s="4" t="s">
        <v>50</v>
      </c>
      <c r="O157" s="4" t="s">
        <v>69</v>
      </c>
      <c r="P157" s="7"/>
      <c r="Q157" s="7"/>
      <c r="R157" s="7"/>
      <c r="S157" s="7"/>
      <c r="T157" s="7"/>
      <c r="U157" s="7"/>
      <c r="V157" s="7"/>
    </row>
    <row r="158" ht="14.25" customHeight="1">
      <c r="A158" s="4">
        <v>20224.0</v>
      </c>
      <c r="B158" s="11">
        <v>45807.0</v>
      </c>
      <c r="C158" s="4" t="s">
        <v>92</v>
      </c>
      <c r="D158" s="4" t="s">
        <v>25</v>
      </c>
      <c r="E158" s="4" t="s">
        <v>59</v>
      </c>
      <c r="F158" s="4" t="s">
        <v>86</v>
      </c>
      <c r="G158" s="4">
        <v>3.0</v>
      </c>
      <c r="H158" s="13">
        <v>397.0</v>
      </c>
      <c r="I158" s="13">
        <v>1191.0</v>
      </c>
      <c r="J158" s="4">
        <v>15.0</v>
      </c>
      <c r="K158" s="13">
        <v>179.0</v>
      </c>
      <c r="L158" s="13">
        <v>1012.0</v>
      </c>
      <c r="M158" s="4" t="s">
        <v>61</v>
      </c>
      <c r="N158" s="4" t="s">
        <v>43</v>
      </c>
      <c r="O158" s="4" t="s">
        <v>69</v>
      </c>
      <c r="P158" s="7"/>
      <c r="Q158" s="7"/>
      <c r="R158" s="7"/>
      <c r="S158" s="7"/>
      <c r="T158" s="7"/>
      <c r="U158" s="7"/>
      <c r="V158" s="7"/>
    </row>
    <row r="159" ht="14.25" customHeight="1">
      <c r="A159" s="4">
        <v>20346.0</v>
      </c>
      <c r="B159" s="11">
        <v>45807.0</v>
      </c>
      <c r="C159" s="4" t="s">
        <v>45</v>
      </c>
      <c r="D159" s="4" t="s">
        <v>46</v>
      </c>
      <c r="E159" s="4" t="s">
        <v>26</v>
      </c>
      <c r="F159" s="4" t="s">
        <v>104</v>
      </c>
      <c r="G159" s="4">
        <v>15.0</v>
      </c>
      <c r="H159" s="13">
        <v>288.0</v>
      </c>
      <c r="I159" s="13">
        <v>4320.0</v>
      </c>
      <c r="J159" s="4">
        <v>0.0</v>
      </c>
      <c r="K159" s="13">
        <v>0.0</v>
      </c>
      <c r="L159" s="13">
        <v>4320.0</v>
      </c>
      <c r="M159" s="4" t="s">
        <v>96</v>
      </c>
      <c r="N159" s="4" t="s">
        <v>56</v>
      </c>
      <c r="O159" s="4" t="s">
        <v>69</v>
      </c>
      <c r="P159" s="7"/>
      <c r="Q159" s="7"/>
      <c r="R159" s="7"/>
      <c r="S159" s="7"/>
      <c r="T159" s="7"/>
      <c r="U159" s="7"/>
      <c r="V159" s="7"/>
    </row>
    <row r="160" ht="14.25" customHeight="1">
      <c r="A160" s="4">
        <v>20294.0</v>
      </c>
      <c r="B160" s="11">
        <v>45808.0</v>
      </c>
      <c r="C160" s="4" t="s">
        <v>97</v>
      </c>
      <c r="D160" s="4" t="s">
        <v>25</v>
      </c>
      <c r="E160" s="4" t="s">
        <v>53</v>
      </c>
      <c r="F160" s="4" t="s">
        <v>95</v>
      </c>
      <c r="G160" s="4">
        <v>2.0</v>
      </c>
      <c r="H160" s="13">
        <v>647.0</v>
      </c>
      <c r="I160" s="13">
        <v>1294.0</v>
      </c>
      <c r="J160" s="4">
        <v>15.0</v>
      </c>
      <c r="K160" s="13">
        <v>194.0</v>
      </c>
      <c r="L160" s="13">
        <v>1100.0</v>
      </c>
      <c r="M160" s="4" t="s">
        <v>71</v>
      </c>
      <c r="N160" s="4" t="s">
        <v>56</v>
      </c>
      <c r="O160" s="4" t="s">
        <v>69</v>
      </c>
      <c r="P160" s="7"/>
      <c r="Q160" s="7"/>
      <c r="R160" s="7"/>
      <c r="S160" s="7"/>
      <c r="T160" s="7"/>
      <c r="U160" s="7"/>
      <c r="V160" s="7"/>
    </row>
    <row r="161" ht="14.25" customHeight="1">
      <c r="A161" s="4">
        <v>20180.0</v>
      </c>
      <c r="B161" s="11">
        <v>45810.0</v>
      </c>
      <c r="C161" s="4" t="s">
        <v>58</v>
      </c>
      <c r="D161" s="4" t="s">
        <v>25</v>
      </c>
      <c r="E161" s="4" t="s">
        <v>53</v>
      </c>
      <c r="F161" s="4" t="s">
        <v>95</v>
      </c>
      <c r="G161" s="4">
        <v>8.0</v>
      </c>
      <c r="H161" s="13">
        <v>573.0</v>
      </c>
      <c r="I161" s="13">
        <v>4584.0</v>
      </c>
      <c r="J161" s="4">
        <v>0.0</v>
      </c>
      <c r="K161" s="13">
        <v>0.0</v>
      </c>
      <c r="L161" s="13">
        <v>4584.0</v>
      </c>
      <c r="M161" s="4" t="s">
        <v>106</v>
      </c>
      <c r="N161" s="4" t="s">
        <v>62</v>
      </c>
      <c r="O161" s="4" t="s">
        <v>44</v>
      </c>
      <c r="P161" s="7"/>
      <c r="Q161" s="7"/>
      <c r="R161" s="7"/>
      <c r="S161" s="7"/>
      <c r="T161" s="7"/>
      <c r="U161" s="7"/>
      <c r="V161" s="7"/>
    </row>
    <row r="162" ht="14.25" customHeight="1">
      <c r="A162" s="4">
        <v>20038.0</v>
      </c>
      <c r="B162" s="11">
        <v>45811.0</v>
      </c>
      <c r="C162" s="4" t="s">
        <v>89</v>
      </c>
      <c r="D162" s="4" t="s">
        <v>46</v>
      </c>
      <c r="E162" s="4" t="s">
        <v>59</v>
      </c>
      <c r="F162" s="4" t="s">
        <v>85</v>
      </c>
      <c r="G162" s="4">
        <v>7.0</v>
      </c>
      <c r="H162" s="13">
        <v>158.0</v>
      </c>
      <c r="I162" s="13">
        <v>1106.0</v>
      </c>
      <c r="J162" s="4">
        <v>15.0</v>
      </c>
      <c r="K162" s="13">
        <v>166.0</v>
      </c>
      <c r="L162" s="13">
        <v>940.0</v>
      </c>
      <c r="M162" s="4" t="s">
        <v>61</v>
      </c>
      <c r="N162" s="4" t="s">
        <v>50</v>
      </c>
      <c r="O162" s="4" t="s">
        <v>57</v>
      </c>
      <c r="P162" s="7"/>
      <c r="Q162" s="7"/>
      <c r="R162" s="7"/>
      <c r="S162" s="7"/>
      <c r="T162" s="7"/>
      <c r="U162" s="7"/>
      <c r="V162" s="7"/>
    </row>
    <row r="163" ht="14.25" customHeight="1">
      <c r="A163" s="4">
        <v>20220.0</v>
      </c>
      <c r="B163" s="11">
        <v>45811.0</v>
      </c>
      <c r="C163" s="4" t="s">
        <v>82</v>
      </c>
      <c r="D163" s="4" t="s">
        <v>52</v>
      </c>
      <c r="E163" s="4" t="s">
        <v>26</v>
      </c>
      <c r="F163" s="4" t="s">
        <v>74</v>
      </c>
      <c r="G163" s="4">
        <v>5.0</v>
      </c>
      <c r="H163" s="13">
        <v>372.0</v>
      </c>
      <c r="I163" s="13">
        <v>1860.0</v>
      </c>
      <c r="J163" s="4">
        <v>5.0</v>
      </c>
      <c r="K163" s="13">
        <v>93.0</v>
      </c>
      <c r="L163" s="13">
        <v>1767.0</v>
      </c>
      <c r="M163" s="4" t="s">
        <v>71</v>
      </c>
      <c r="N163" s="4" t="s">
        <v>50</v>
      </c>
      <c r="O163" s="4" t="s">
        <v>44</v>
      </c>
      <c r="P163" s="7"/>
      <c r="Q163" s="7"/>
      <c r="R163" s="7"/>
      <c r="S163" s="7"/>
      <c r="T163" s="7"/>
      <c r="U163" s="7"/>
      <c r="V163" s="7"/>
    </row>
    <row r="164" ht="14.25" customHeight="1">
      <c r="A164" s="4">
        <v>20089.0</v>
      </c>
      <c r="B164" s="11">
        <v>45812.0</v>
      </c>
      <c r="C164" s="4" t="s">
        <v>99</v>
      </c>
      <c r="D164" s="4" t="s">
        <v>64</v>
      </c>
      <c r="E164" s="4" t="s">
        <v>59</v>
      </c>
      <c r="F164" s="4" t="s">
        <v>86</v>
      </c>
      <c r="G164" s="4">
        <v>2.0</v>
      </c>
      <c r="H164" s="13">
        <v>243.0</v>
      </c>
      <c r="I164" s="13">
        <v>486.0</v>
      </c>
      <c r="J164" s="4">
        <v>15.0</v>
      </c>
      <c r="K164" s="13">
        <v>73.0</v>
      </c>
      <c r="L164" s="13">
        <v>413.0</v>
      </c>
      <c r="M164" s="4" t="s">
        <v>96</v>
      </c>
      <c r="N164" s="4" t="s">
        <v>62</v>
      </c>
      <c r="O164" s="4" t="s">
        <v>57</v>
      </c>
      <c r="P164" s="7"/>
      <c r="Q164" s="7"/>
      <c r="R164" s="7"/>
      <c r="S164" s="7"/>
      <c r="T164" s="7"/>
      <c r="U164" s="7"/>
      <c r="V164" s="7"/>
    </row>
    <row r="165" ht="14.25" customHeight="1">
      <c r="A165" s="4">
        <v>20195.0</v>
      </c>
      <c r="B165" s="11">
        <v>45812.0</v>
      </c>
      <c r="C165" s="4" t="s">
        <v>76</v>
      </c>
      <c r="D165" s="4" t="s">
        <v>64</v>
      </c>
      <c r="E165" s="4" t="s">
        <v>47</v>
      </c>
      <c r="F165" s="4" t="s">
        <v>65</v>
      </c>
      <c r="G165" s="4">
        <v>7.0</v>
      </c>
      <c r="H165" s="13">
        <v>916.0</v>
      </c>
      <c r="I165" s="13">
        <v>6412.0</v>
      </c>
      <c r="J165" s="4">
        <v>15.0</v>
      </c>
      <c r="K165" s="13">
        <v>962.0</v>
      </c>
      <c r="L165" s="13">
        <v>5450.0</v>
      </c>
      <c r="M165" s="4" t="s">
        <v>61</v>
      </c>
      <c r="N165" s="4" t="s">
        <v>56</v>
      </c>
      <c r="O165" s="4" t="s">
        <v>44</v>
      </c>
      <c r="P165" s="7"/>
      <c r="Q165" s="7"/>
      <c r="R165" s="7"/>
      <c r="S165" s="7"/>
      <c r="T165" s="7"/>
      <c r="U165" s="7"/>
      <c r="V165" s="7"/>
    </row>
    <row r="166" ht="14.25" customHeight="1">
      <c r="A166" s="4">
        <v>20307.0</v>
      </c>
      <c r="B166" s="11">
        <v>45813.0</v>
      </c>
      <c r="C166" s="4" t="s">
        <v>89</v>
      </c>
      <c r="D166" s="4" t="s">
        <v>46</v>
      </c>
      <c r="E166" s="4" t="s">
        <v>53</v>
      </c>
      <c r="F166" s="4" t="s">
        <v>48</v>
      </c>
      <c r="G166" s="4">
        <v>14.0</v>
      </c>
      <c r="H166" s="13">
        <v>765.0</v>
      </c>
      <c r="I166" s="13">
        <v>10710.0</v>
      </c>
      <c r="J166" s="4">
        <v>15.0</v>
      </c>
      <c r="K166" s="13">
        <v>1606.0</v>
      </c>
      <c r="L166" s="13">
        <v>9104.0</v>
      </c>
      <c r="M166" s="4" t="s">
        <v>42</v>
      </c>
      <c r="N166" s="4" t="s">
        <v>72</v>
      </c>
      <c r="O166" s="4" t="s">
        <v>44</v>
      </c>
      <c r="P166" s="7"/>
      <c r="Q166" s="7"/>
      <c r="R166" s="7"/>
      <c r="S166" s="7"/>
      <c r="T166" s="7"/>
      <c r="U166" s="7"/>
      <c r="V166" s="7"/>
    </row>
    <row r="167" ht="14.25" customHeight="1">
      <c r="A167" s="4">
        <v>20373.0</v>
      </c>
      <c r="B167" s="11">
        <v>45814.0</v>
      </c>
      <c r="C167" s="4" t="s">
        <v>76</v>
      </c>
      <c r="D167" s="4" t="s">
        <v>64</v>
      </c>
      <c r="E167" s="4" t="s">
        <v>47</v>
      </c>
      <c r="F167" s="4" t="s">
        <v>103</v>
      </c>
      <c r="G167" s="4">
        <v>6.0</v>
      </c>
      <c r="H167" s="13">
        <v>1481.0</v>
      </c>
      <c r="I167" s="13">
        <v>8886.0</v>
      </c>
      <c r="J167" s="4">
        <v>0.0</v>
      </c>
      <c r="K167" s="13">
        <v>0.0</v>
      </c>
      <c r="L167" s="13">
        <v>8886.0</v>
      </c>
      <c r="M167" s="4" t="s">
        <v>106</v>
      </c>
      <c r="N167" s="4" t="s">
        <v>43</v>
      </c>
      <c r="O167" s="4" t="s">
        <v>44</v>
      </c>
      <c r="P167" s="7"/>
      <c r="Q167" s="7"/>
      <c r="R167" s="7"/>
      <c r="S167" s="7"/>
      <c r="T167" s="7"/>
      <c r="U167" s="7"/>
      <c r="V167" s="7"/>
    </row>
    <row r="168" ht="14.25" customHeight="1">
      <c r="A168" s="4">
        <v>20143.0</v>
      </c>
      <c r="B168" s="11">
        <v>45816.0</v>
      </c>
      <c r="C168" s="4" t="s">
        <v>51</v>
      </c>
      <c r="D168" s="4" t="s">
        <v>52</v>
      </c>
      <c r="E168" s="4" t="s">
        <v>47</v>
      </c>
      <c r="F168" s="4" t="s">
        <v>27</v>
      </c>
      <c r="G168" s="4">
        <v>5.0</v>
      </c>
      <c r="H168" s="13">
        <v>1370.0</v>
      </c>
      <c r="I168" s="13">
        <v>6850.0</v>
      </c>
      <c r="J168" s="4">
        <v>0.0</v>
      </c>
      <c r="K168" s="13">
        <v>0.0</v>
      </c>
      <c r="L168" s="13">
        <v>6850.0</v>
      </c>
      <c r="M168" s="4" t="s">
        <v>81</v>
      </c>
      <c r="N168" s="4" t="s">
        <v>72</v>
      </c>
      <c r="O168" s="4" t="s">
        <v>44</v>
      </c>
      <c r="P168" s="7"/>
      <c r="Q168" s="7"/>
      <c r="R168" s="7"/>
      <c r="S168" s="7"/>
      <c r="T168" s="7"/>
      <c r="U168" s="7"/>
      <c r="V168" s="7"/>
    </row>
    <row r="169" ht="14.25" customHeight="1">
      <c r="A169" s="4">
        <v>20023.0</v>
      </c>
      <c r="B169" s="11">
        <v>45818.0</v>
      </c>
      <c r="C169" s="4" t="s">
        <v>93</v>
      </c>
      <c r="D169" s="4" t="s">
        <v>25</v>
      </c>
      <c r="E169" s="4" t="s">
        <v>26</v>
      </c>
      <c r="F169" s="4" t="s">
        <v>70</v>
      </c>
      <c r="G169" s="4">
        <v>8.0</v>
      </c>
      <c r="H169" s="13">
        <v>634.0</v>
      </c>
      <c r="I169" s="13">
        <v>5072.0</v>
      </c>
      <c r="J169" s="4">
        <v>10.0</v>
      </c>
      <c r="K169" s="13">
        <v>507.0</v>
      </c>
      <c r="L169" s="13">
        <v>4565.0</v>
      </c>
      <c r="M169" s="4" t="s">
        <v>71</v>
      </c>
      <c r="N169" s="4" t="s">
        <v>50</v>
      </c>
      <c r="O169" s="4" t="s">
        <v>69</v>
      </c>
      <c r="P169" s="7"/>
      <c r="Q169" s="7"/>
      <c r="R169" s="7"/>
      <c r="S169" s="7"/>
      <c r="T169" s="7"/>
      <c r="U169" s="7"/>
      <c r="V169" s="7"/>
    </row>
    <row r="170" ht="14.25" customHeight="1">
      <c r="A170" s="4">
        <v>20107.0</v>
      </c>
      <c r="B170" s="11">
        <v>45818.0</v>
      </c>
      <c r="C170" s="4" t="s">
        <v>66</v>
      </c>
      <c r="D170" s="4" t="s">
        <v>46</v>
      </c>
      <c r="E170" s="4" t="s">
        <v>53</v>
      </c>
      <c r="F170" s="4" t="s">
        <v>75</v>
      </c>
      <c r="G170" s="4">
        <v>11.0</v>
      </c>
      <c r="H170" s="13">
        <v>485.0</v>
      </c>
      <c r="I170" s="13">
        <v>5335.0</v>
      </c>
      <c r="J170" s="4">
        <v>5.0</v>
      </c>
      <c r="K170" s="13">
        <v>267.0</v>
      </c>
      <c r="L170" s="13">
        <v>5068.0</v>
      </c>
      <c r="M170" s="4" t="s">
        <v>71</v>
      </c>
      <c r="N170" s="4" t="s">
        <v>72</v>
      </c>
      <c r="O170" s="4" t="s">
        <v>69</v>
      </c>
      <c r="P170" s="7"/>
      <c r="Q170" s="7"/>
      <c r="R170" s="7"/>
      <c r="S170" s="7"/>
      <c r="T170" s="7"/>
      <c r="U170" s="7"/>
      <c r="V170" s="7"/>
    </row>
    <row r="171" ht="14.25" customHeight="1">
      <c r="A171" s="4">
        <v>20405.0</v>
      </c>
      <c r="B171" s="11">
        <v>45818.0</v>
      </c>
      <c r="C171" s="4" t="s">
        <v>45</v>
      </c>
      <c r="D171" s="4" t="s">
        <v>46</v>
      </c>
      <c r="E171" s="4" t="s">
        <v>77</v>
      </c>
      <c r="F171" s="4" t="s">
        <v>88</v>
      </c>
      <c r="G171" s="4">
        <v>5.0</v>
      </c>
      <c r="H171" s="13">
        <v>7012.0</v>
      </c>
      <c r="I171" s="13">
        <v>35060.0</v>
      </c>
      <c r="J171" s="4">
        <v>15.0</v>
      </c>
      <c r="K171" s="13">
        <v>5259.0</v>
      </c>
      <c r="L171" s="13">
        <v>29801.0</v>
      </c>
      <c r="M171" s="4" t="s">
        <v>106</v>
      </c>
      <c r="N171" s="4" t="s">
        <v>50</v>
      </c>
      <c r="O171" s="4" t="s">
        <v>57</v>
      </c>
      <c r="P171" s="7"/>
      <c r="Q171" s="7"/>
      <c r="R171" s="7"/>
      <c r="S171" s="7"/>
      <c r="T171" s="7"/>
      <c r="U171" s="7"/>
      <c r="V171" s="7"/>
    </row>
    <row r="172" ht="14.25" customHeight="1">
      <c r="A172" s="4">
        <v>20025.0</v>
      </c>
      <c r="B172" s="11">
        <v>45819.0</v>
      </c>
      <c r="C172" s="4" t="s">
        <v>66</v>
      </c>
      <c r="D172" s="4" t="s">
        <v>46</v>
      </c>
      <c r="E172" s="4" t="s">
        <v>77</v>
      </c>
      <c r="F172" s="4" t="s">
        <v>105</v>
      </c>
      <c r="G172" s="4">
        <v>12.0</v>
      </c>
      <c r="H172" s="13">
        <v>2855.0</v>
      </c>
      <c r="I172" s="13">
        <v>34260.0</v>
      </c>
      <c r="J172" s="4">
        <v>15.0</v>
      </c>
      <c r="K172" s="13">
        <v>5139.0</v>
      </c>
      <c r="L172" s="13">
        <v>29121.0</v>
      </c>
      <c r="M172" s="4" t="s">
        <v>96</v>
      </c>
      <c r="N172" s="4" t="s">
        <v>43</v>
      </c>
      <c r="O172" s="4" t="s">
        <v>44</v>
      </c>
      <c r="P172" s="7"/>
      <c r="Q172" s="7"/>
      <c r="R172" s="7"/>
      <c r="S172" s="7"/>
      <c r="T172" s="7"/>
      <c r="U172" s="7"/>
      <c r="V172" s="7"/>
    </row>
    <row r="173" ht="14.25" customHeight="1">
      <c r="A173" s="4">
        <v>20212.0</v>
      </c>
      <c r="B173" s="11">
        <v>45819.0</v>
      </c>
      <c r="C173" s="4" t="s">
        <v>97</v>
      </c>
      <c r="D173" s="4" t="s">
        <v>25</v>
      </c>
      <c r="E173" s="4" t="s">
        <v>77</v>
      </c>
      <c r="F173" s="4" t="s">
        <v>88</v>
      </c>
      <c r="G173" s="4">
        <v>3.0</v>
      </c>
      <c r="H173" s="13">
        <v>1530.0</v>
      </c>
      <c r="I173" s="13">
        <v>4590.0</v>
      </c>
      <c r="J173" s="4">
        <v>10.0</v>
      </c>
      <c r="K173" s="13">
        <v>459.0</v>
      </c>
      <c r="L173" s="13">
        <v>4131.0</v>
      </c>
      <c r="M173" s="4" t="s">
        <v>61</v>
      </c>
      <c r="N173" s="4" t="s">
        <v>56</v>
      </c>
      <c r="O173" s="4" t="s">
        <v>44</v>
      </c>
      <c r="P173" s="7"/>
      <c r="Q173" s="7"/>
      <c r="R173" s="7"/>
      <c r="S173" s="7"/>
      <c r="T173" s="7"/>
      <c r="U173" s="7"/>
      <c r="V173" s="7"/>
    </row>
    <row r="174" ht="14.25" customHeight="1">
      <c r="A174" s="4">
        <v>20266.0</v>
      </c>
      <c r="B174" s="11">
        <v>45821.0</v>
      </c>
      <c r="C174" s="4" t="s">
        <v>66</v>
      </c>
      <c r="D174" s="4" t="s">
        <v>46</v>
      </c>
      <c r="E174" s="4" t="s">
        <v>26</v>
      </c>
      <c r="F174" s="4" t="s">
        <v>70</v>
      </c>
      <c r="G174" s="4">
        <v>6.0</v>
      </c>
      <c r="H174" s="13">
        <v>242.0</v>
      </c>
      <c r="I174" s="13">
        <v>1452.0</v>
      </c>
      <c r="J174" s="4">
        <v>0.0</v>
      </c>
      <c r="K174" s="13">
        <v>0.0</v>
      </c>
      <c r="L174" s="13">
        <v>1452.0</v>
      </c>
      <c r="M174" s="4" t="s">
        <v>87</v>
      </c>
      <c r="N174" s="4" t="s">
        <v>62</v>
      </c>
      <c r="O174" s="4" t="s">
        <v>44</v>
      </c>
      <c r="P174" s="7"/>
      <c r="Q174" s="7"/>
      <c r="R174" s="7"/>
      <c r="S174" s="7"/>
      <c r="T174" s="7"/>
      <c r="U174" s="7"/>
      <c r="V174" s="7"/>
    </row>
    <row r="175" ht="14.25" customHeight="1">
      <c r="A175" s="4">
        <v>20317.0</v>
      </c>
      <c r="B175" s="11">
        <v>45821.0</v>
      </c>
      <c r="C175" s="4" t="s">
        <v>76</v>
      </c>
      <c r="D175" s="4" t="s">
        <v>64</v>
      </c>
      <c r="E175" s="4" t="s">
        <v>26</v>
      </c>
      <c r="F175" s="4" t="s">
        <v>94</v>
      </c>
      <c r="G175" s="4">
        <v>8.0</v>
      </c>
      <c r="H175" s="13">
        <v>422.0</v>
      </c>
      <c r="I175" s="13">
        <v>3376.0</v>
      </c>
      <c r="J175" s="4">
        <v>15.0</v>
      </c>
      <c r="K175" s="13">
        <v>506.0</v>
      </c>
      <c r="L175" s="13">
        <v>2870.0</v>
      </c>
      <c r="M175" s="4" t="s">
        <v>81</v>
      </c>
      <c r="N175" s="4" t="s">
        <v>56</v>
      </c>
      <c r="O175" s="4" t="s">
        <v>57</v>
      </c>
      <c r="P175" s="7"/>
      <c r="Q175" s="7"/>
      <c r="R175" s="7"/>
      <c r="S175" s="7"/>
      <c r="T175" s="7"/>
      <c r="U175" s="7"/>
      <c r="V175" s="7"/>
    </row>
    <row r="176" ht="14.25" customHeight="1">
      <c r="A176" s="4">
        <v>20040.0</v>
      </c>
      <c r="B176" s="11">
        <v>45822.0</v>
      </c>
      <c r="C176" s="4" t="s">
        <v>73</v>
      </c>
      <c r="D176" s="4" t="s">
        <v>52</v>
      </c>
      <c r="E176" s="4" t="s">
        <v>59</v>
      </c>
      <c r="F176" s="4" t="s">
        <v>86</v>
      </c>
      <c r="G176" s="4">
        <v>11.0</v>
      </c>
      <c r="H176" s="13">
        <v>436.0</v>
      </c>
      <c r="I176" s="13">
        <v>4796.0</v>
      </c>
      <c r="J176" s="4">
        <v>15.0</v>
      </c>
      <c r="K176" s="13">
        <v>719.0</v>
      </c>
      <c r="L176" s="13">
        <v>4077.0</v>
      </c>
      <c r="M176" s="4" t="s">
        <v>71</v>
      </c>
      <c r="N176" s="4" t="s">
        <v>72</v>
      </c>
      <c r="O176" s="4" t="s">
        <v>57</v>
      </c>
      <c r="P176" s="7"/>
      <c r="Q176" s="7"/>
      <c r="R176" s="7"/>
      <c r="S176" s="7"/>
      <c r="T176" s="7"/>
      <c r="U176" s="7"/>
      <c r="V176" s="7"/>
    </row>
    <row r="177" ht="14.25" customHeight="1">
      <c r="A177" s="4">
        <v>20118.0</v>
      </c>
      <c r="B177" s="11">
        <v>45824.0</v>
      </c>
      <c r="C177" s="4" t="s">
        <v>80</v>
      </c>
      <c r="D177" s="4" t="s">
        <v>64</v>
      </c>
      <c r="E177" s="4" t="s">
        <v>47</v>
      </c>
      <c r="F177" s="4" t="s">
        <v>27</v>
      </c>
      <c r="G177" s="4">
        <v>14.0</v>
      </c>
      <c r="H177" s="13">
        <v>1195.0</v>
      </c>
      <c r="I177" s="13">
        <v>16730.0</v>
      </c>
      <c r="J177" s="4">
        <v>5.0</v>
      </c>
      <c r="K177" s="13">
        <v>836.0</v>
      </c>
      <c r="L177" s="13">
        <v>15894.0</v>
      </c>
      <c r="M177" s="4" t="s">
        <v>49</v>
      </c>
      <c r="N177" s="4" t="s">
        <v>43</v>
      </c>
      <c r="O177" s="4" t="s">
        <v>57</v>
      </c>
      <c r="P177" s="7"/>
      <c r="Q177" s="7"/>
      <c r="R177" s="7"/>
      <c r="S177" s="7"/>
      <c r="T177" s="7"/>
      <c r="U177" s="7"/>
      <c r="V177" s="7"/>
    </row>
    <row r="178" ht="14.25" customHeight="1">
      <c r="A178" s="4">
        <v>20218.0</v>
      </c>
      <c r="B178" s="11">
        <v>45824.0</v>
      </c>
      <c r="C178" s="4" t="s">
        <v>51</v>
      </c>
      <c r="D178" s="4" t="s">
        <v>52</v>
      </c>
      <c r="E178" s="4" t="s">
        <v>26</v>
      </c>
      <c r="F178" s="4" t="s">
        <v>74</v>
      </c>
      <c r="G178" s="4">
        <v>7.0</v>
      </c>
      <c r="H178" s="13">
        <v>517.0</v>
      </c>
      <c r="I178" s="13">
        <v>3619.0</v>
      </c>
      <c r="J178" s="4">
        <v>0.0</v>
      </c>
      <c r="K178" s="13">
        <v>0.0</v>
      </c>
      <c r="L178" s="13">
        <v>3619.0</v>
      </c>
      <c r="M178" s="4" t="s">
        <v>49</v>
      </c>
      <c r="N178" s="4" t="s">
        <v>56</v>
      </c>
      <c r="O178" s="4" t="s">
        <v>69</v>
      </c>
      <c r="P178" s="7"/>
      <c r="Q178" s="7"/>
      <c r="R178" s="7"/>
      <c r="S178" s="7"/>
      <c r="T178" s="7"/>
      <c r="U178" s="7"/>
      <c r="V178" s="7"/>
    </row>
    <row r="179" ht="14.25" customHeight="1">
      <c r="A179" s="4">
        <v>20168.0</v>
      </c>
      <c r="B179" s="11">
        <v>45825.0</v>
      </c>
      <c r="C179" s="4" t="s">
        <v>84</v>
      </c>
      <c r="D179" s="4" t="s">
        <v>46</v>
      </c>
      <c r="E179" s="4" t="s">
        <v>77</v>
      </c>
      <c r="F179" s="4" t="s">
        <v>110</v>
      </c>
      <c r="G179" s="4">
        <v>10.0</v>
      </c>
      <c r="H179" s="13">
        <v>5763.0</v>
      </c>
      <c r="I179" s="13">
        <v>57630.0</v>
      </c>
      <c r="J179" s="4">
        <v>10.0</v>
      </c>
      <c r="K179" s="13">
        <v>5763.0</v>
      </c>
      <c r="L179" s="13">
        <v>51867.0</v>
      </c>
      <c r="M179" s="4" t="s">
        <v>42</v>
      </c>
      <c r="N179" s="4" t="s">
        <v>56</v>
      </c>
      <c r="O179" s="4" t="s">
        <v>44</v>
      </c>
      <c r="P179" s="7"/>
      <c r="Q179" s="7"/>
      <c r="R179" s="7"/>
      <c r="S179" s="7"/>
      <c r="T179" s="7"/>
      <c r="U179" s="7"/>
      <c r="V179" s="7"/>
    </row>
    <row r="180" ht="14.25" customHeight="1">
      <c r="A180" s="4">
        <v>20187.0</v>
      </c>
      <c r="B180" s="11">
        <v>45825.0</v>
      </c>
      <c r="C180" s="4" t="s">
        <v>73</v>
      </c>
      <c r="D180" s="4" t="s">
        <v>52</v>
      </c>
      <c r="E180" s="4" t="s">
        <v>26</v>
      </c>
      <c r="F180" s="4" t="s">
        <v>94</v>
      </c>
      <c r="G180" s="4">
        <v>4.0</v>
      </c>
      <c r="H180" s="13">
        <v>620.0</v>
      </c>
      <c r="I180" s="13">
        <v>2480.0</v>
      </c>
      <c r="J180" s="4">
        <v>5.0</v>
      </c>
      <c r="K180" s="13">
        <v>124.0</v>
      </c>
      <c r="L180" s="13">
        <v>2356.0</v>
      </c>
      <c r="M180" s="4" t="s">
        <v>68</v>
      </c>
      <c r="N180" s="4" t="s">
        <v>56</v>
      </c>
      <c r="O180" s="4" t="s">
        <v>44</v>
      </c>
      <c r="P180" s="7"/>
      <c r="Q180" s="7"/>
      <c r="R180" s="7"/>
      <c r="S180" s="7"/>
      <c r="T180" s="7"/>
      <c r="U180" s="7"/>
      <c r="V180" s="7"/>
    </row>
    <row r="181" ht="14.25" customHeight="1">
      <c r="A181" s="4">
        <v>20246.0</v>
      </c>
      <c r="B181" s="11">
        <v>45825.0</v>
      </c>
      <c r="C181" s="4" t="s">
        <v>97</v>
      </c>
      <c r="D181" s="4" t="s">
        <v>25</v>
      </c>
      <c r="E181" s="4" t="s">
        <v>26</v>
      </c>
      <c r="F181" s="4" t="s">
        <v>94</v>
      </c>
      <c r="G181" s="4">
        <v>8.0</v>
      </c>
      <c r="H181" s="13">
        <v>486.0</v>
      </c>
      <c r="I181" s="13">
        <v>3888.0</v>
      </c>
      <c r="J181" s="4">
        <v>0.0</v>
      </c>
      <c r="K181" s="13">
        <v>0.0</v>
      </c>
      <c r="L181" s="13">
        <v>3888.0</v>
      </c>
      <c r="M181" s="4" t="s">
        <v>61</v>
      </c>
      <c r="N181" s="4" t="s">
        <v>50</v>
      </c>
      <c r="O181" s="4" t="s">
        <v>44</v>
      </c>
      <c r="P181" s="7"/>
      <c r="Q181" s="7"/>
      <c r="R181" s="7"/>
      <c r="S181" s="7"/>
      <c r="T181" s="7"/>
      <c r="U181" s="7"/>
      <c r="V181" s="7"/>
    </row>
    <row r="182" ht="14.25" customHeight="1">
      <c r="A182" s="4">
        <v>20231.0</v>
      </c>
      <c r="B182" s="11">
        <v>45827.0</v>
      </c>
      <c r="C182" s="4" t="s">
        <v>24</v>
      </c>
      <c r="D182" s="4" t="s">
        <v>52</v>
      </c>
      <c r="E182" s="4" t="s">
        <v>59</v>
      </c>
      <c r="F182" s="4" t="s">
        <v>60</v>
      </c>
      <c r="G182" s="4">
        <v>13.0</v>
      </c>
      <c r="H182" s="13">
        <v>155.0</v>
      </c>
      <c r="I182" s="13">
        <v>2015.0</v>
      </c>
      <c r="J182" s="4">
        <v>5.0</v>
      </c>
      <c r="K182" s="13">
        <v>101.0</v>
      </c>
      <c r="L182" s="13">
        <v>1914.0</v>
      </c>
      <c r="M182" s="4" t="s">
        <v>81</v>
      </c>
      <c r="N182" s="4" t="s">
        <v>56</v>
      </c>
      <c r="O182" s="4" t="s">
        <v>69</v>
      </c>
      <c r="P182" s="7"/>
      <c r="Q182" s="7"/>
      <c r="R182" s="7"/>
      <c r="S182" s="7"/>
      <c r="T182" s="7"/>
      <c r="U182" s="7"/>
      <c r="V182" s="7"/>
    </row>
    <row r="183" ht="14.25" customHeight="1">
      <c r="A183" s="4">
        <v>20342.0</v>
      </c>
      <c r="B183" s="11">
        <v>45827.0</v>
      </c>
      <c r="C183" s="4" t="s">
        <v>66</v>
      </c>
      <c r="D183" s="4" t="s">
        <v>46</v>
      </c>
      <c r="E183" s="4" t="s">
        <v>26</v>
      </c>
      <c r="F183" s="4" t="s">
        <v>70</v>
      </c>
      <c r="G183" s="4">
        <v>4.0</v>
      </c>
      <c r="H183" s="13">
        <v>507.0</v>
      </c>
      <c r="I183" s="13">
        <v>2028.0</v>
      </c>
      <c r="J183" s="4">
        <v>5.0</v>
      </c>
      <c r="K183" s="13">
        <v>101.0</v>
      </c>
      <c r="L183" s="13">
        <v>1927.0</v>
      </c>
      <c r="M183" s="4" t="s">
        <v>49</v>
      </c>
      <c r="N183" s="4" t="s">
        <v>43</v>
      </c>
      <c r="O183" s="4" t="s">
        <v>69</v>
      </c>
      <c r="P183" s="7"/>
      <c r="Q183" s="7"/>
      <c r="R183" s="7"/>
      <c r="S183" s="7"/>
      <c r="T183" s="7"/>
      <c r="U183" s="7"/>
      <c r="V183" s="7"/>
    </row>
    <row r="184" ht="14.25" customHeight="1">
      <c r="A184" s="4">
        <v>20030.0</v>
      </c>
      <c r="B184" s="11">
        <v>45828.0</v>
      </c>
      <c r="C184" s="4" t="s">
        <v>76</v>
      </c>
      <c r="D184" s="4" t="s">
        <v>64</v>
      </c>
      <c r="E184" s="4" t="s">
        <v>53</v>
      </c>
      <c r="F184" s="4" t="s">
        <v>75</v>
      </c>
      <c r="G184" s="4">
        <v>12.0</v>
      </c>
      <c r="H184" s="13">
        <v>1744.0</v>
      </c>
      <c r="I184" s="13">
        <v>20928.0</v>
      </c>
      <c r="J184" s="4">
        <v>0.0</v>
      </c>
      <c r="K184" s="13">
        <v>0.0</v>
      </c>
      <c r="L184" s="13">
        <v>20928.0</v>
      </c>
      <c r="M184" s="4" t="s">
        <v>71</v>
      </c>
      <c r="N184" s="4" t="s">
        <v>62</v>
      </c>
      <c r="O184" s="4" t="s">
        <v>57</v>
      </c>
      <c r="P184" s="7"/>
      <c r="Q184" s="7"/>
      <c r="R184" s="7"/>
      <c r="S184" s="7"/>
      <c r="T184" s="7"/>
      <c r="U184" s="7"/>
      <c r="V184" s="7"/>
    </row>
    <row r="185" ht="14.25" customHeight="1">
      <c r="A185" s="4">
        <v>20074.0</v>
      </c>
      <c r="B185" s="11">
        <v>45828.0</v>
      </c>
      <c r="C185" s="4" t="s">
        <v>84</v>
      </c>
      <c r="D185" s="4" t="s">
        <v>46</v>
      </c>
      <c r="E185" s="4" t="s">
        <v>26</v>
      </c>
      <c r="F185" s="4" t="s">
        <v>100</v>
      </c>
      <c r="G185" s="4">
        <v>6.0</v>
      </c>
      <c r="H185" s="13">
        <v>541.0</v>
      </c>
      <c r="I185" s="13">
        <v>3246.0</v>
      </c>
      <c r="J185" s="4">
        <v>20.0</v>
      </c>
      <c r="K185" s="13">
        <v>649.0</v>
      </c>
      <c r="L185" s="13">
        <v>2597.0</v>
      </c>
      <c r="M185" s="4" t="s">
        <v>87</v>
      </c>
      <c r="N185" s="4" t="s">
        <v>62</v>
      </c>
      <c r="O185" s="4" t="s">
        <v>44</v>
      </c>
      <c r="P185" s="7"/>
      <c r="Q185" s="7"/>
      <c r="R185" s="7"/>
      <c r="S185" s="7"/>
      <c r="T185" s="7"/>
      <c r="U185" s="7"/>
      <c r="V185" s="7"/>
    </row>
    <row r="186" ht="14.25" customHeight="1">
      <c r="A186" s="4">
        <v>20323.0</v>
      </c>
      <c r="B186" s="11">
        <v>45828.0</v>
      </c>
      <c r="C186" s="4" t="s">
        <v>80</v>
      </c>
      <c r="D186" s="4" t="s">
        <v>64</v>
      </c>
      <c r="E186" s="4" t="s">
        <v>53</v>
      </c>
      <c r="F186" s="4" t="s">
        <v>98</v>
      </c>
      <c r="G186" s="4">
        <v>1.0</v>
      </c>
      <c r="H186" s="13">
        <v>859.0</v>
      </c>
      <c r="I186" s="13">
        <v>859.0</v>
      </c>
      <c r="J186" s="4">
        <v>10.0</v>
      </c>
      <c r="K186" s="13">
        <v>86.0</v>
      </c>
      <c r="L186" s="13">
        <v>773.0</v>
      </c>
      <c r="M186" s="4" t="s">
        <v>68</v>
      </c>
      <c r="N186" s="4" t="s">
        <v>43</v>
      </c>
      <c r="O186" s="4" t="s">
        <v>69</v>
      </c>
      <c r="P186" s="7"/>
      <c r="Q186" s="7"/>
      <c r="R186" s="7"/>
      <c r="S186" s="7"/>
      <c r="T186" s="7"/>
      <c r="U186" s="7"/>
      <c r="V186" s="7"/>
    </row>
    <row r="187" ht="14.25" customHeight="1">
      <c r="A187" s="4">
        <v>20415.0</v>
      </c>
      <c r="B187" s="11">
        <v>45829.0</v>
      </c>
      <c r="C187" s="4" t="s">
        <v>66</v>
      </c>
      <c r="D187" s="4" t="s">
        <v>46</v>
      </c>
      <c r="E187" s="4" t="s">
        <v>53</v>
      </c>
      <c r="F187" s="4" t="s">
        <v>95</v>
      </c>
      <c r="G187" s="4">
        <v>9.0</v>
      </c>
      <c r="H187" s="13">
        <v>339.0</v>
      </c>
      <c r="I187" s="13">
        <v>3051.0</v>
      </c>
      <c r="J187" s="4">
        <v>0.0</v>
      </c>
      <c r="K187" s="13">
        <v>0.0</v>
      </c>
      <c r="L187" s="13">
        <v>3051.0</v>
      </c>
      <c r="M187" s="4" t="s">
        <v>49</v>
      </c>
      <c r="N187" s="4" t="s">
        <v>50</v>
      </c>
      <c r="O187" s="4" t="s">
        <v>57</v>
      </c>
      <c r="P187" s="7"/>
      <c r="Q187" s="7"/>
      <c r="R187" s="7"/>
      <c r="S187" s="7"/>
      <c r="T187" s="7"/>
      <c r="U187" s="7"/>
      <c r="V187" s="7"/>
    </row>
    <row r="188" ht="14.25" customHeight="1">
      <c r="A188" s="4">
        <v>20288.0</v>
      </c>
      <c r="B188" s="11">
        <v>45830.0</v>
      </c>
      <c r="C188" s="4" t="s">
        <v>89</v>
      </c>
      <c r="D188" s="4" t="s">
        <v>46</v>
      </c>
      <c r="E188" s="4" t="s">
        <v>53</v>
      </c>
      <c r="F188" s="4" t="s">
        <v>75</v>
      </c>
      <c r="G188" s="4">
        <v>3.0</v>
      </c>
      <c r="H188" s="13">
        <v>1608.0</v>
      </c>
      <c r="I188" s="13">
        <v>4824.0</v>
      </c>
      <c r="J188" s="4">
        <v>0.0</v>
      </c>
      <c r="K188" s="13">
        <v>0.0</v>
      </c>
      <c r="L188" s="13">
        <v>4824.0</v>
      </c>
      <c r="M188" s="4" t="s">
        <v>87</v>
      </c>
      <c r="N188" s="4" t="s">
        <v>56</v>
      </c>
      <c r="O188" s="4" t="s">
        <v>44</v>
      </c>
      <c r="P188" s="7"/>
      <c r="Q188" s="7"/>
      <c r="R188" s="7"/>
      <c r="S188" s="7"/>
      <c r="T188" s="7"/>
      <c r="U188" s="7"/>
      <c r="V188" s="7"/>
    </row>
    <row r="189" ht="14.25" customHeight="1">
      <c r="A189" s="4">
        <v>20316.0</v>
      </c>
      <c r="B189" s="11">
        <v>45830.0</v>
      </c>
      <c r="C189" s="4" t="s">
        <v>66</v>
      </c>
      <c r="D189" s="4" t="s">
        <v>46</v>
      </c>
      <c r="E189" s="4" t="s">
        <v>53</v>
      </c>
      <c r="F189" s="4" t="s">
        <v>95</v>
      </c>
      <c r="G189" s="4">
        <v>5.0</v>
      </c>
      <c r="H189" s="13">
        <v>606.0</v>
      </c>
      <c r="I189" s="13">
        <v>3030.0</v>
      </c>
      <c r="J189" s="4">
        <v>0.0</v>
      </c>
      <c r="K189" s="13">
        <v>0.0</v>
      </c>
      <c r="L189" s="13">
        <v>3030.0</v>
      </c>
      <c r="M189" s="4" t="s">
        <v>49</v>
      </c>
      <c r="N189" s="4" t="s">
        <v>43</v>
      </c>
      <c r="O189" s="4" t="s">
        <v>57</v>
      </c>
      <c r="P189" s="7"/>
      <c r="Q189" s="7"/>
      <c r="R189" s="7"/>
      <c r="S189" s="7"/>
      <c r="T189" s="7"/>
      <c r="U189" s="7"/>
      <c r="V189" s="7"/>
    </row>
    <row r="190" ht="14.25" customHeight="1">
      <c r="A190" s="4">
        <v>20295.0</v>
      </c>
      <c r="B190" s="11">
        <v>45831.0</v>
      </c>
      <c r="C190" s="4" t="s">
        <v>82</v>
      </c>
      <c r="D190" s="4" t="s">
        <v>52</v>
      </c>
      <c r="E190" s="4" t="s">
        <v>26</v>
      </c>
      <c r="F190" s="4" t="s">
        <v>111</v>
      </c>
      <c r="G190" s="4">
        <v>11.0</v>
      </c>
      <c r="H190" s="13">
        <v>288.0</v>
      </c>
      <c r="I190" s="13">
        <v>3168.0</v>
      </c>
      <c r="J190" s="4">
        <v>0.0</v>
      </c>
      <c r="K190" s="13">
        <v>0.0</v>
      </c>
      <c r="L190" s="13">
        <v>3168.0</v>
      </c>
      <c r="M190" s="4" t="s">
        <v>55</v>
      </c>
      <c r="N190" s="4" t="s">
        <v>50</v>
      </c>
      <c r="O190" s="4" t="s">
        <v>69</v>
      </c>
      <c r="P190" s="7"/>
      <c r="Q190" s="7"/>
      <c r="R190" s="7"/>
      <c r="S190" s="7"/>
      <c r="T190" s="7"/>
      <c r="U190" s="7"/>
      <c r="V190" s="7"/>
    </row>
    <row r="191" ht="14.25" customHeight="1">
      <c r="A191" s="4">
        <v>20080.0</v>
      </c>
      <c r="B191" s="11">
        <v>45832.0</v>
      </c>
      <c r="C191" s="4" t="s">
        <v>66</v>
      </c>
      <c r="D191" s="4" t="s">
        <v>46</v>
      </c>
      <c r="E191" s="4" t="s">
        <v>26</v>
      </c>
      <c r="F191" s="4" t="s">
        <v>74</v>
      </c>
      <c r="G191" s="4">
        <v>12.0</v>
      </c>
      <c r="H191" s="13">
        <v>425.0</v>
      </c>
      <c r="I191" s="13">
        <v>5100.0</v>
      </c>
      <c r="J191" s="4">
        <v>20.0</v>
      </c>
      <c r="K191" s="13">
        <v>1020.0</v>
      </c>
      <c r="L191" s="13">
        <v>4080.0</v>
      </c>
      <c r="M191" s="4" t="s">
        <v>68</v>
      </c>
      <c r="N191" s="4" t="s">
        <v>43</v>
      </c>
      <c r="O191" s="4" t="s">
        <v>57</v>
      </c>
      <c r="P191" s="7"/>
      <c r="Q191" s="7"/>
      <c r="R191" s="7"/>
      <c r="S191" s="7"/>
      <c r="T191" s="7"/>
      <c r="U191" s="7"/>
      <c r="V191" s="7"/>
    </row>
    <row r="192" ht="14.25" customHeight="1">
      <c r="A192" s="4">
        <v>20029.0</v>
      </c>
      <c r="B192" s="11">
        <v>45833.0</v>
      </c>
      <c r="C192" s="4" t="s">
        <v>99</v>
      </c>
      <c r="D192" s="4" t="s">
        <v>64</v>
      </c>
      <c r="E192" s="4" t="s">
        <v>53</v>
      </c>
      <c r="F192" s="4" t="s">
        <v>54</v>
      </c>
      <c r="G192" s="4">
        <v>8.0</v>
      </c>
      <c r="H192" s="13">
        <v>403.0</v>
      </c>
      <c r="I192" s="13">
        <v>3224.0</v>
      </c>
      <c r="J192" s="4">
        <v>20.0</v>
      </c>
      <c r="K192" s="13">
        <v>645.0</v>
      </c>
      <c r="L192" s="13">
        <v>2579.0</v>
      </c>
      <c r="M192" s="4" t="s">
        <v>96</v>
      </c>
      <c r="N192" s="4" t="s">
        <v>62</v>
      </c>
      <c r="O192" s="4" t="s">
        <v>69</v>
      </c>
      <c r="P192" s="7"/>
      <c r="Q192" s="7"/>
      <c r="R192" s="7"/>
      <c r="S192" s="7"/>
      <c r="T192" s="7"/>
      <c r="U192" s="7"/>
      <c r="V192" s="7"/>
    </row>
    <row r="193" ht="14.25" customHeight="1">
      <c r="A193" s="4">
        <v>20125.0</v>
      </c>
      <c r="B193" s="11">
        <v>45833.0</v>
      </c>
      <c r="C193" s="4" t="s">
        <v>92</v>
      </c>
      <c r="D193" s="4" t="s">
        <v>25</v>
      </c>
      <c r="E193" s="4" t="s">
        <v>47</v>
      </c>
      <c r="F193" s="4" t="s">
        <v>65</v>
      </c>
      <c r="G193" s="4">
        <v>1.0</v>
      </c>
      <c r="H193" s="13">
        <v>2345.0</v>
      </c>
      <c r="I193" s="13">
        <v>2345.0</v>
      </c>
      <c r="J193" s="4">
        <v>10.0</v>
      </c>
      <c r="K193" s="13">
        <v>234.0</v>
      </c>
      <c r="L193" s="13">
        <v>2111.0</v>
      </c>
      <c r="M193" s="4" t="s">
        <v>49</v>
      </c>
      <c r="N193" s="4" t="s">
        <v>50</v>
      </c>
      <c r="O193" s="4" t="s">
        <v>44</v>
      </c>
      <c r="P193" s="7"/>
      <c r="Q193" s="7"/>
      <c r="R193" s="7"/>
      <c r="S193" s="7"/>
      <c r="T193" s="7"/>
      <c r="U193" s="7"/>
      <c r="V193" s="7"/>
    </row>
    <row r="194" ht="14.25" customHeight="1">
      <c r="A194" s="4">
        <v>20173.0</v>
      </c>
      <c r="B194" s="11">
        <v>45833.0</v>
      </c>
      <c r="C194" s="4" t="s">
        <v>45</v>
      </c>
      <c r="D194" s="4" t="s">
        <v>46</v>
      </c>
      <c r="E194" s="4" t="s">
        <v>53</v>
      </c>
      <c r="F194" s="4" t="s">
        <v>54</v>
      </c>
      <c r="G194" s="4">
        <v>8.0</v>
      </c>
      <c r="H194" s="13">
        <v>870.0</v>
      </c>
      <c r="I194" s="13">
        <v>6960.0</v>
      </c>
      <c r="J194" s="4">
        <v>0.0</v>
      </c>
      <c r="K194" s="13">
        <v>0.0</v>
      </c>
      <c r="L194" s="13">
        <v>6960.0</v>
      </c>
      <c r="M194" s="4" t="s">
        <v>96</v>
      </c>
      <c r="N194" s="4" t="s">
        <v>72</v>
      </c>
      <c r="O194" s="4" t="s">
        <v>57</v>
      </c>
      <c r="P194" s="7"/>
      <c r="Q194" s="7"/>
      <c r="R194" s="7"/>
      <c r="S194" s="7"/>
      <c r="T194" s="7"/>
      <c r="U194" s="7"/>
      <c r="V194" s="7"/>
    </row>
    <row r="195" ht="14.25" customHeight="1">
      <c r="A195" s="4">
        <v>20229.0</v>
      </c>
      <c r="B195" s="11">
        <v>45833.0</v>
      </c>
      <c r="C195" s="4" t="s">
        <v>73</v>
      </c>
      <c r="D195" s="4" t="s">
        <v>52</v>
      </c>
      <c r="E195" s="4" t="s">
        <v>77</v>
      </c>
      <c r="F195" s="4" t="s">
        <v>88</v>
      </c>
      <c r="G195" s="4">
        <v>8.0</v>
      </c>
      <c r="H195" s="13">
        <v>4800.0</v>
      </c>
      <c r="I195" s="13">
        <v>38400.0</v>
      </c>
      <c r="J195" s="4">
        <v>0.0</v>
      </c>
      <c r="K195" s="13">
        <v>0.0</v>
      </c>
      <c r="L195" s="13">
        <v>38400.0</v>
      </c>
      <c r="M195" s="4" t="s">
        <v>71</v>
      </c>
      <c r="N195" s="4" t="s">
        <v>72</v>
      </c>
      <c r="O195" s="4" t="s">
        <v>69</v>
      </c>
      <c r="P195" s="7"/>
      <c r="Q195" s="7"/>
      <c r="R195" s="7"/>
      <c r="S195" s="7"/>
      <c r="T195" s="7"/>
      <c r="U195" s="7"/>
      <c r="V195" s="7"/>
    </row>
    <row r="196" ht="14.25" customHeight="1">
      <c r="A196" s="4">
        <v>20418.0</v>
      </c>
      <c r="B196" s="11">
        <v>45833.0</v>
      </c>
      <c r="C196" s="4" t="s">
        <v>63</v>
      </c>
      <c r="D196" s="4" t="s">
        <v>64</v>
      </c>
      <c r="E196" s="4" t="s">
        <v>53</v>
      </c>
      <c r="F196" s="4" t="s">
        <v>95</v>
      </c>
      <c r="G196" s="4">
        <v>11.0</v>
      </c>
      <c r="H196" s="13">
        <v>846.0</v>
      </c>
      <c r="I196" s="13">
        <v>9306.0</v>
      </c>
      <c r="J196" s="4">
        <v>0.0</v>
      </c>
      <c r="K196" s="13">
        <v>0.0</v>
      </c>
      <c r="L196" s="13">
        <v>9306.0</v>
      </c>
      <c r="M196" s="4" t="s">
        <v>42</v>
      </c>
      <c r="N196" s="4" t="s">
        <v>72</v>
      </c>
      <c r="O196" s="4" t="s">
        <v>57</v>
      </c>
      <c r="P196" s="7"/>
      <c r="Q196" s="7"/>
      <c r="R196" s="7"/>
      <c r="S196" s="7"/>
      <c r="T196" s="7"/>
      <c r="U196" s="7"/>
      <c r="V196" s="7"/>
    </row>
    <row r="197" ht="14.25" customHeight="1">
      <c r="A197" s="4">
        <v>20300.0</v>
      </c>
      <c r="B197" s="11">
        <v>45834.0</v>
      </c>
      <c r="C197" s="4" t="s">
        <v>24</v>
      </c>
      <c r="D197" s="4" t="s">
        <v>52</v>
      </c>
      <c r="E197" s="4" t="s">
        <v>47</v>
      </c>
      <c r="F197" s="4" t="s">
        <v>65</v>
      </c>
      <c r="G197" s="4">
        <v>9.0</v>
      </c>
      <c r="H197" s="13">
        <v>1913.0</v>
      </c>
      <c r="I197" s="13">
        <v>17217.0</v>
      </c>
      <c r="J197" s="4">
        <v>10.0</v>
      </c>
      <c r="K197" s="13">
        <v>1722.0</v>
      </c>
      <c r="L197" s="13">
        <v>15495.0</v>
      </c>
      <c r="M197" s="4" t="s">
        <v>42</v>
      </c>
      <c r="N197" s="4" t="s">
        <v>56</v>
      </c>
      <c r="O197" s="4" t="s">
        <v>69</v>
      </c>
      <c r="P197" s="7"/>
      <c r="Q197" s="7"/>
      <c r="R197" s="7"/>
      <c r="S197" s="7"/>
      <c r="T197" s="7"/>
      <c r="U197" s="7"/>
      <c r="V197" s="7"/>
    </row>
    <row r="198" ht="14.25" customHeight="1">
      <c r="A198" s="4">
        <v>20291.0</v>
      </c>
      <c r="B198" s="11">
        <v>45835.0</v>
      </c>
      <c r="C198" s="4" t="s">
        <v>84</v>
      </c>
      <c r="D198" s="4" t="s">
        <v>46</v>
      </c>
      <c r="E198" s="4" t="s">
        <v>77</v>
      </c>
      <c r="F198" s="4" t="s">
        <v>105</v>
      </c>
      <c r="G198" s="4">
        <v>15.0</v>
      </c>
      <c r="H198" s="13">
        <v>7631.0</v>
      </c>
      <c r="I198" s="13">
        <v>114465.0</v>
      </c>
      <c r="J198" s="4">
        <v>5.0</v>
      </c>
      <c r="K198" s="13">
        <v>5723.0</v>
      </c>
      <c r="L198" s="13">
        <v>108742.0</v>
      </c>
      <c r="M198" s="4" t="s">
        <v>81</v>
      </c>
      <c r="N198" s="4" t="s">
        <v>72</v>
      </c>
      <c r="O198" s="4" t="s">
        <v>69</v>
      </c>
      <c r="P198" s="7"/>
      <c r="Q198" s="7"/>
      <c r="R198" s="7"/>
      <c r="S198" s="7"/>
      <c r="T198" s="7"/>
      <c r="U198" s="7"/>
      <c r="V198" s="7"/>
    </row>
    <row r="199" ht="14.25" customHeight="1">
      <c r="A199" s="4">
        <v>20241.0</v>
      </c>
      <c r="B199" s="11">
        <v>45836.0</v>
      </c>
      <c r="C199" s="4" t="s">
        <v>92</v>
      </c>
      <c r="D199" s="4" t="s">
        <v>25</v>
      </c>
      <c r="E199" s="4" t="s">
        <v>59</v>
      </c>
      <c r="F199" s="4" t="s">
        <v>79</v>
      </c>
      <c r="G199" s="4">
        <v>13.0</v>
      </c>
      <c r="H199" s="13">
        <v>361.0</v>
      </c>
      <c r="I199" s="13">
        <v>4693.0</v>
      </c>
      <c r="J199" s="4">
        <v>20.0</v>
      </c>
      <c r="K199" s="13">
        <v>939.0</v>
      </c>
      <c r="L199" s="13">
        <v>3754.0</v>
      </c>
      <c r="M199" s="4" t="s">
        <v>49</v>
      </c>
      <c r="N199" s="4" t="s">
        <v>43</v>
      </c>
      <c r="O199" s="4" t="s">
        <v>69</v>
      </c>
      <c r="P199" s="7"/>
      <c r="Q199" s="7"/>
      <c r="R199" s="7"/>
      <c r="S199" s="7"/>
      <c r="T199" s="7"/>
      <c r="U199" s="7"/>
      <c r="V199" s="7"/>
    </row>
    <row r="200" ht="14.25" customHeight="1">
      <c r="A200" s="4">
        <v>20360.0</v>
      </c>
      <c r="B200" s="11">
        <v>45836.0</v>
      </c>
      <c r="C200" s="4" t="s">
        <v>63</v>
      </c>
      <c r="D200" s="4" t="s">
        <v>64</v>
      </c>
      <c r="E200" s="4" t="s">
        <v>77</v>
      </c>
      <c r="F200" s="4" t="s">
        <v>105</v>
      </c>
      <c r="G200" s="4">
        <v>6.0</v>
      </c>
      <c r="H200" s="13">
        <v>3855.0</v>
      </c>
      <c r="I200" s="13">
        <v>23130.0</v>
      </c>
      <c r="J200" s="4">
        <v>5.0</v>
      </c>
      <c r="K200" s="13">
        <v>1156.0</v>
      </c>
      <c r="L200" s="13">
        <v>21974.0</v>
      </c>
      <c r="M200" s="4" t="s">
        <v>87</v>
      </c>
      <c r="N200" s="4" t="s">
        <v>62</v>
      </c>
      <c r="O200" s="4" t="s">
        <v>69</v>
      </c>
      <c r="P200" s="7"/>
      <c r="Q200" s="7"/>
      <c r="R200" s="7"/>
      <c r="S200" s="7"/>
      <c r="T200" s="7"/>
      <c r="U200" s="7"/>
      <c r="V200" s="7"/>
    </row>
    <row r="201" ht="14.25" customHeight="1">
      <c r="A201" s="4">
        <v>20091.0</v>
      </c>
      <c r="B201" s="11">
        <v>45838.0</v>
      </c>
      <c r="C201" s="4" t="s">
        <v>63</v>
      </c>
      <c r="D201" s="4" t="s">
        <v>64</v>
      </c>
      <c r="E201" s="4" t="s">
        <v>77</v>
      </c>
      <c r="F201" s="4" t="s">
        <v>88</v>
      </c>
      <c r="G201" s="4">
        <v>5.0</v>
      </c>
      <c r="H201" s="13">
        <v>6046.0</v>
      </c>
      <c r="I201" s="13">
        <v>30230.0</v>
      </c>
      <c r="J201" s="4">
        <v>0.0</v>
      </c>
      <c r="K201" s="13">
        <v>0.0</v>
      </c>
      <c r="L201" s="13">
        <v>30230.0</v>
      </c>
      <c r="M201" s="4" t="s">
        <v>42</v>
      </c>
      <c r="N201" s="4" t="s">
        <v>62</v>
      </c>
      <c r="O201" s="4" t="s">
        <v>57</v>
      </c>
      <c r="P201" s="7"/>
      <c r="Q201" s="7"/>
      <c r="R201" s="7"/>
      <c r="S201" s="7"/>
      <c r="T201" s="7"/>
      <c r="U201" s="7"/>
      <c r="V201" s="7"/>
    </row>
    <row r="202" ht="14.25" customHeight="1">
      <c r="A202" s="4">
        <v>20139.0</v>
      </c>
      <c r="B202" s="11">
        <v>45838.0</v>
      </c>
      <c r="C202" s="4" t="s">
        <v>63</v>
      </c>
      <c r="D202" s="4" t="s">
        <v>64</v>
      </c>
      <c r="E202" s="4" t="s">
        <v>47</v>
      </c>
      <c r="F202" s="4" t="s">
        <v>27</v>
      </c>
      <c r="G202" s="4">
        <v>3.0</v>
      </c>
      <c r="H202" s="13">
        <v>2353.0</v>
      </c>
      <c r="I202" s="13">
        <v>7059.0</v>
      </c>
      <c r="J202" s="4">
        <v>10.0</v>
      </c>
      <c r="K202" s="13">
        <v>706.0</v>
      </c>
      <c r="L202" s="13">
        <v>6353.0</v>
      </c>
      <c r="M202" s="4" t="s">
        <v>87</v>
      </c>
      <c r="N202" s="4" t="s">
        <v>56</v>
      </c>
      <c r="O202" s="4" t="s">
        <v>57</v>
      </c>
      <c r="P202" s="7"/>
      <c r="Q202" s="7"/>
      <c r="R202" s="7"/>
      <c r="S202" s="7"/>
      <c r="T202" s="7"/>
      <c r="U202" s="7"/>
      <c r="V202" s="7"/>
    </row>
    <row r="203" ht="14.25" customHeight="1">
      <c r="A203" s="4">
        <v>20284.0</v>
      </c>
      <c r="B203" s="11">
        <v>45839.0</v>
      </c>
      <c r="C203" s="4" t="s">
        <v>80</v>
      </c>
      <c r="D203" s="4" t="s">
        <v>64</v>
      </c>
      <c r="E203" s="4" t="s">
        <v>77</v>
      </c>
      <c r="F203" s="4" t="s">
        <v>78</v>
      </c>
      <c r="G203" s="4">
        <v>10.0</v>
      </c>
      <c r="H203" s="13">
        <v>7504.0</v>
      </c>
      <c r="I203" s="13">
        <v>75040.0</v>
      </c>
      <c r="J203" s="4">
        <v>10.0</v>
      </c>
      <c r="K203" s="13">
        <v>7504.0</v>
      </c>
      <c r="L203" s="13">
        <v>67536.0</v>
      </c>
      <c r="M203" s="4" t="s">
        <v>81</v>
      </c>
      <c r="N203" s="4" t="s">
        <v>72</v>
      </c>
      <c r="O203" s="4" t="s">
        <v>57</v>
      </c>
      <c r="P203" s="7"/>
      <c r="Q203" s="7"/>
      <c r="R203" s="7"/>
      <c r="S203" s="7"/>
      <c r="T203" s="7"/>
      <c r="U203" s="7"/>
      <c r="V203" s="7"/>
    </row>
    <row r="204" ht="14.25" customHeight="1">
      <c r="A204" s="4">
        <v>20274.0</v>
      </c>
      <c r="B204" s="11">
        <v>45841.0</v>
      </c>
      <c r="C204" s="4" t="s">
        <v>99</v>
      </c>
      <c r="D204" s="4" t="s">
        <v>64</v>
      </c>
      <c r="E204" s="4" t="s">
        <v>59</v>
      </c>
      <c r="F204" s="4" t="s">
        <v>85</v>
      </c>
      <c r="G204" s="4">
        <v>8.0</v>
      </c>
      <c r="H204" s="13">
        <v>106.0</v>
      </c>
      <c r="I204" s="13">
        <v>848.0</v>
      </c>
      <c r="J204" s="4">
        <v>20.0</v>
      </c>
      <c r="K204" s="13">
        <v>170.0</v>
      </c>
      <c r="L204" s="13">
        <v>678.0</v>
      </c>
      <c r="M204" s="4" t="s">
        <v>96</v>
      </c>
      <c r="N204" s="4" t="s">
        <v>56</v>
      </c>
      <c r="O204" s="4" t="s">
        <v>69</v>
      </c>
      <c r="P204" s="7"/>
      <c r="Q204" s="7"/>
      <c r="R204" s="7"/>
      <c r="S204" s="7"/>
      <c r="T204" s="7"/>
      <c r="U204" s="7"/>
      <c r="V204" s="7"/>
    </row>
    <row r="205" ht="14.25" customHeight="1">
      <c r="A205" s="4">
        <v>20332.0</v>
      </c>
      <c r="B205" s="11">
        <v>45841.0</v>
      </c>
      <c r="C205" s="4" t="s">
        <v>24</v>
      </c>
      <c r="D205" s="4" t="s">
        <v>52</v>
      </c>
      <c r="E205" s="4" t="s">
        <v>53</v>
      </c>
      <c r="F205" s="4" t="s">
        <v>75</v>
      </c>
      <c r="G205" s="4">
        <v>1.0</v>
      </c>
      <c r="H205" s="13">
        <v>724.0</v>
      </c>
      <c r="I205" s="13">
        <v>724.0</v>
      </c>
      <c r="J205" s="4">
        <v>0.0</v>
      </c>
      <c r="K205" s="13">
        <v>0.0</v>
      </c>
      <c r="L205" s="13">
        <v>724.0</v>
      </c>
      <c r="M205" s="4" t="s">
        <v>106</v>
      </c>
      <c r="N205" s="4" t="s">
        <v>62</v>
      </c>
      <c r="O205" s="4" t="s">
        <v>69</v>
      </c>
      <c r="P205" s="7"/>
      <c r="Q205" s="7"/>
      <c r="R205" s="7"/>
      <c r="S205" s="7"/>
      <c r="T205" s="7"/>
      <c r="U205" s="7"/>
      <c r="V205" s="7"/>
    </row>
    <row r="206" ht="14.25" customHeight="1">
      <c r="A206" s="4">
        <v>20249.0</v>
      </c>
      <c r="B206" s="11">
        <v>45842.0</v>
      </c>
      <c r="C206" s="4" t="s">
        <v>66</v>
      </c>
      <c r="D206" s="4" t="s">
        <v>46</v>
      </c>
      <c r="E206" s="4" t="s">
        <v>26</v>
      </c>
      <c r="F206" s="4" t="s">
        <v>74</v>
      </c>
      <c r="G206" s="4">
        <v>11.0</v>
      </c>
      <c r="H206" s="13">
        <v>289.0</v>
      </c>
      <c r="I206" s="13">
        <v>3179.0</v>
      </c>
      <c r="J206" s="4">
        <v>15.0</v>
      </c>
      <c r="K206" s="13">
        <v>477.0</v>
      </c>
      <c r="L206" s="13">
        <v>2702.0</v>
      </c>
      <c r="M206" s="4" t="s">
        <v>106</v>
      </c>
      <c r="N206" s="4" t="s">
        <v>43</v>
      </c>
      <c r="O206" s="4" t="s">
        <v>57</v>
      </c>
      <c r="P206" s="7"/>
      <c r="Q206" s="7"/>
      <c r="R206" s="7"/>
      <c r="S206" s="7"/>
      <c r="T206" s="7"/>
      <c r="U206" s="7"/>
      <c r="V206" s="7"/>
    </row>
    <row r="207" ht="14.25" customHeight="1">
      <c r="A207" s="4">
        <v>20297.0</v>
      </c>
      <c r="B207" s="11">
        <v>45842.0</v>
      </c>
      <c r="C207" s="4" t="s">
        <v>97</v>
      </c>
      <c r="D207" s="4" t="s">
        <v>25</v>
      </c>
      <c r="E207" s="4" t="s">
        <v>59</v>
      </c>
      <c r="F207" s="4" t="s">
        <v>79</v>
      </c>
      <c r="G207" s="4">
        <v>5.0</v>
      </c>
      <c r="H207" s="13">
        <v>73.0</v>
      </c>
      <c r="I207" s="13">
        <v>365.0</v>
      </c>
      <c r="J207" s="4">
        <v>0.0</v>
      </c>
      <c r="K207" s="13">
        <v>0.0</v>
      </c>
      <c r="L207" s="13">
        <v>365.0</v>
      </c>
      <c r="M207" s="4" t="s">
        <v>96</v>
      </c>
      <c r="N207" s="4" t="s">
        <v>62</v>
      </c>
      <c r="O207" s="4" t="s">
        <v>44</v>
      </c>
      <c r="P207" s="7"/>
      <c r="Q207" s="7"/>
      <c r="R207" s="7"/>
      <c r="S207" s="7"/>
      <c r="T207" s="7"/>
      <c r="U207" s="7"/>
      <c r="V207" s="7"/>
    </row>
    <row r="208" ht="14.25" customHeight="1">
      <c r="A208" s="4">
        <v>20374.0</v>
      </c>
      <c r="B208" s="11">
        <v>45842.0</v>
      </c>
      <c r="C208" s="4" t="s">
        <v>76</v>
      </c>
      <c r="D208" s="4" t="s">
        <v>64</v>
      </c>
      <c r="E208" s="4" t="s">
        <v>53</v>
      </c>
      <c r="F208" s="4" t="s">
        <v>48</v>
      </c>
      <c r="G208" s="4">
        <v>8.0</v>
      </c>
      <c r="H208" s="13">
        <v>1885.0</v>
      </c>
      <c r="I208" s="13">
        <v>15080.0</v>
      </c>
      <c r="J208" s="4">
        <v>10.0</v>
      </c>
      <c r="K208" s="13">
        <v>1508.0</v>
      </c>
      <c r="L208" s="13">
        <v>13572.0</v>
      </c>
      <c r="M208" s="4" t="s">
        <v>71</v>
      </c>
      <c r="N208" s="4" t="s">
        <v>50</v>
      </c>
      <c r="O208" s="4" t="s">
        <v>57</v>
      </c>
      <c r="P208" s="7"/>
      <c r="Q208" s="7"/>
      <c r="R208" s="7"/>
      <c r="S208" s="7"/>
      <c r="T208" s="7"/>
      <c r="U208" s="7"/>
      <c r="V208" s="7"/>
    </row>
    <row r="209" ht="14.25" customHeight="1">
      <c r="A209" s="4">
        <v>20380.0</v>
      </c>
      <c r="B209" s="11">
        <v>45842.0</v>
      </c>
      <c r="C209" s="4" t="s">
        <v>51</v>
      </c>
      <c r="D209" s="4" t="s">
        <v>52</v>
      </c>
      <c r="E209" s="4" t="s">
        <v>59</v>
      </c>
      <c r="F209" s="4" t="s">
        <v>86</v>
      </c>
      <c r="G209" s="4">
        <v>15.0</v>
      </c>
      <c r="H209" s="13">
        <v>225.0</v>
      </c>
      <c r="I209" s="13">
        <v>3375.0</v>
      </c>
      <c r="J209" s="4">
        <v>15.0</v>
      </c>
      <c r="K209" s="13">
        <v>506.0</v>
      </c>
      <c r="L209" s="13">
        <v>2869.0</v>
      </c>
      <c r="M209" s="4" t="s">
        <v>87</v>
      </c>
      <c r="N209" s="4" t="s">
        <v>72</v>
      </c>
      <c r="O209" s="4" t="s">
        <v>57</v>
      </c>
      <c r="P209" s="7"/>
      <c r="Q209" s="7"/>
      <c r="R209" s="7"/>
      <c r="S209" s="7"/>
      <c r="T209" s="7"/>
      <c r="U209" s="7"/>
      <c r="V209" s="7"/>
    </row>
    <row r="210" ht="14.25" customHeight="1">
      <c r="A210" s="4">
        <v>20092.0</v>
      </c>
      <c r="B210" s="11">
        <v>45844.0</v>
      </c>
      <c r="C210" s="4" t="s">
        <v>76</v>
      </c>
      <c r="D210" s="4" t="s">
        <v>64</v>
      </c>
      <c r="E210" s="4" t="s">
        <v>26</v>
      </c>
      <c r="F210" s="4" t="s">
        <v>74</v>
      </c>
      <c r="G210" s="4">
        <v>6.0</v>
      </c>
      <c r="H210" s="13">
        <v>545.0</v>
      </c>
      <c r="I210" s="13">
        <v>3270.0</v>
      </c>
      <c r="J210" s="4">
        <v>0.0</v>
      </c>
      <c r="K210" s="13">
        <v>0.0</v>
      </c>
      <c r="L210" s="13">
        <v>3270.0</v>
      </c>
      <c r="M210" s="4" t="s">
        <v>87</v>
      </c>
      <c r="N210" s="4" t="s">
        <v>56</v>
      </c>
      <c r="O210" s="4" t="s">
        <v>44</v>
      </c>
      <c r="P210" s="7"/>
      <c r="Q210" s="7"/>
      <c r="R210" s="7"/>
      <c r="S210" s="7"/>
      <c r="T210" s="7"/>
      <c r="U210" s="7"/>
      <c r="V210" s="7"/>
    </row>
    <row r="211" ht="14.25" customHeight="1">
      <c r="A211" s="4">
        <v>20131.0</v>
      </c>
      <c r="B211" s="11">
        <v>45844.0</v>
      </c>
      <c r="C211" s="4" t="s">
        <v>63</v>
      </c>
      <c r="D211" s="4" t="s">
        <v>64</v>
      </c>
      <c r="E211" s="4" t="s">
        <v>59</v>
      </c>
      <c r="F211" s="4" t="s">
        <v>83</v>
      </c>
      <c r="G211" s="4">
        <v>5.0</v>
      </c>
      <c r="H211" s="13">
        <v>182.0</v>
      </c>
      <c r="I211" s="13">
        <v>910.0</v>
      </c>
      <c r="J211" s="4">
        <v>20.0</v>
      </c>
      <c r="K211" s="13">
        <v>182.0</v>
      </c>
      <c r="L211" s="13">
        <v>728.0</v>
      </c>
      <c r="M211" s="4" t="s">
        <v>42</v>
      </c>
      <c r="N211" s="4" t="s">
        <v>50</v>
      </c>
      <c r="O211" s="4" t="s">
        <v>44</v>
      </c>
      <c r="P211" s="7"/>
      <c r="Q211" s="7"/>
      <c r="R211" s="7"/>
      <c r="S211" s="7"/>
      <c r="T211" s="7"/>
      <c r="U211" s="7"/>
      <c r="V211" s="7"/>
    </row>
    <row r="212" ht="14.25" customHeight="1">
      <c r="A212" s="4">
        <v>20094.0</v>
      </c>
      <c r="B212" s="11">
        <v>45845.0</v>
      </c>
      <c r="C212" s="4" t="s">
        <v>92</v>
      </c>
      <c r="D212" s="4" t="s">
        <v>25</v>
      </c>
      <c r="E212" s="4" t="s">
        <v>59</v>
      </c>
      <c r="F212" s="4" t="s">
        <v>79</v>
      </c>
      <c r="G212" s="4">
        <v>5.0</v>
      </c>
      <c r="H212" s="13">
        <v>404.0</v>
      </c>
      <c r="I212" s="13">
        <v>2020.0</v>
      </c>
      <c r="J212" s="4">
        <v>10.0</v>
      </c>
      <c r="K212" s="13">
        <v>202.0</v>
      </c>
      <c r="L212" s="13">
        <v>1818.0</v>
      </c>
      <c r="M212" s="4" t="s">
        <v>61</v>
      </c>
      <c r="N212" s="4" t="s">
        <v>72</v>
      </c>
      <c r="O212" s="4" t="s">
        <v>69</v>
      </c>
      <c r="P212" s="7"/>
      <c r="Q212" s="7"/>
      <c r="R212" s="7"/>
      <c r="S212" s="7"/>
      <c r="T212" s="7"/>
      <c r="U212" s="7"/>
      <c r="V212" s="7"/>
    </row>
    <row r="213" ht="14.25" customHeight="1">
      <c r="A213" s="4">
        <v>20233.0</v>
      </c>
      <c r="B213" s="11">
        <v>45845.0</v>
      </c>
      <c r="C213" s="4" t="s">
        <v>84</v>
      </c>
      <c r="D213" s="4" t="s">
        <v>46</v>
      </c>
      <c r="E213" s="4" t="s">
        <v>77</v>
      </c>
      <c r="F213" s="4" t="s">
        <v>110</v>
      </c>
      <c r="G213" s="4">
        <v>2.0</v>
      </c>
      <c r="H213" s="13">
        <v>6394.0</v>
      </c>
      <c r="I213" s="13">
        <v>12788.0</v>
      </c>
      <c r="J213" s="4">
        <v>10.0</v>
      </c>
      <c r="K213" s="13">
        <v>1279.0</v>
      </c>
      <c r="L213" s="13">
        <v>11509.0</v>
      </c>
      <c r="M213" s="4" t="s">
        <v>61</v>
      </c>
      <c r="N213" s="4" t="s">
        <v>56</v>
      </c>
      <c r="O213" s="4" t="s">
        <v>44</v>
      </c>
      <c r="P213" s="7"/>
      <c r="Q213" s="7"/>
      <c r="R213" s="7"/>
      <c r="S213" s="7"/>
      <c r="T213" s="7"/>
      <c r="U213" s="7"/>
      <c r="V213" s="7"/>
    </row>
    <row r="214" ht="14.25" customHeight="1">
      <c r="A214" s="4">
        <v>20411.0</v>
      </c>
      <c r="B214" s="11">
        <v>45845.0</v>
      </c>
      <c r="C214" s="4" t="s">
        <v>80</v>
      </c>
      <c r="D214" s="4" t="s">
        <v>64</v>
      </c>
      <c r="E214" s="4" t="s">
        <v>59</v>
      </c>
      <c r="F214" s="4" t="s">
        <v>86</v>
      </c>
      <c r="G214" s="4">
        <v>4.0</v>
      </c>
      <c r="H214" s="13">
        <v>250.0</v>
      </c>
      <c r="I214" s="13">
        <v>1000.0</v>
      </c>
      <c r="J214" s="4">
        <v>20.0</v>
      </c>
      <c r="K214" s="13">
        <v>200.0</v>
      </c>
      <c r="L214" s="13">
        <v>800.0</v>
      </c>
      <c r="M214" s="4" t="s">
        <v>61</v>
      </c>
      <c r="N214" s="4" t="s">
        <v>72</v>
      </c>
      <c r="O214" s="4" t="s">
        <v>44</v>
      </c>
      <c r="P214" s="7"/>
      <c r="Q214" s="7"/>
      <c r="R214" s="7"/>
      <c r="S214" s="7"/>
      <c r="T214" s="7"/>
      <c r="U214" s="7"/>
      <c r="V214" s="7"/>
    </row>
    <row r="215" ht="14.25" customHeight="1">
      <c r="A215" s="4">
        <v>20110.0</v>
      </c>
      <c r="B215" s="11">
        <v>45846.0</v>
      </c>
      <c r="C215" s="4" t="s">
        <v>58</v>
      </c>
      <c r="D215" s="4" t="s">
        <v>25</v>
      </c>
      <c r="E215" s="4" t="s">
        <v>53</v>
      </c>
      <c r="F215" s="4" t="s">
        <v>54</v>
      </c>
      <c r="G215" s="4">
        <v>4.0</v>
      </c>
      <c r="H215" s="13">
        <v>1447.0</v>
      </c>
      <c r="I215" s="13">
        <v>5788.0</v>
      </c>
      <c r="J215" s="4">
        <v>0.0</v>
      </c>
      <c r="K215" s="13">
        <v>0.0</v>
      </c>
      <c r="L215" s="13">
        <v>5788.0</v>
      </c>
      <c r="M215" s="4" t="s">
        <v>49</v>
      </c>
      <c r="N215" s="4" t="s">
        <v>72</v>
      </c>
      <c r="O215" s="4" t="s">
        <v>69</v>
      </c>
      <c r="P215" s="7"/>
      <c r="Q215" s="7"/>
      <c r="R215" s="7"/>
      <c r="S215" s="7"/>
      <c r="T215" s="7"/>
      <c r="U215" s="7"/>
      <c r="V215" s="7"/>
    </row>
    <row r="216" ht="14.25" customHeight="1">
      <c r="A216" s="4">
        <v>20153.0</v>
      </c>
      <c r="B216" s="11">
        <v>45846.0</v>
      </c>
      <c r="C216" s="4" t="s">
        <v>73</v>
      </c>
      <c r="D216" s="4" t="s">
        <v>52</v>
      </c>
      <c r="E216" s="4" t="s">
        <v>47</v>
      </c>
      <c r="F216" s="4" t="s">
        <v>65</v>
      </c>
      <c r="G216" s="4">
        <v>10.0</v>
      </c>
      <c r="H216" s="13">
        <v>2159.0</v>
      </c>
      <c r="I216" s="13">
        <v>21590.0</v>
      </c>
      <c r="J216" s="4">
        <v>10.0</v>
      </c>
      <c r="K216" s="13">
        <v>2159.0</v>
      </c>
      <c r="L216" s="13">
        <v>19431.0</v>
      </c>
      <c r="M216" s="4" t="s">
        <v>61</v>
      </c>
      <c r="N216" s="4" t="s">
        <v>43</v>
      </c>
      <c r="O216" s="4" t="s">
        <v>57</v>
      </c>
      <c r="P216" s="7"/>
      <c r="Q216" s="7"/>
      <c r="R216" s="7"/>
      <c r="S216" s="7"/>
      <c r="T216" s="7"/>
      <c r="U216" s="7"/>
      <c r="V216" s="7"/>
    </row>
    <row r="217" ht="14.25" customHeight="1">
      <c r="A217" s="4">
        <v>20252.0</v>
      </c>
      <c r="B217" s="11">
        <v>45846.0</v>
      </c>
      <c r="C217" s="4" t="s">
        <v>89</v>
      </c>
      <c r="D217" s="4" t="s">
        <v>46</v>
      </c>
      <c r="E217" s="4" t="s">
        <v>77</v>
      </c>
      <c r="F217" s="4" t="s">
        <v>110</v>
      </c>
      <c r="G217" s="4">
        <v>13.0</v>
      </c>
      <c r="H217" s="13">
        <v>6155.0</v>
      </c>
      <c r="I217" s="13">
        <v>80015.0</v>
      </c>
      <c r="J217" s="4">
        <v>10.0</v>
      </c>
      <c r="K217" s="13">
        <v>8002.0</v>
      </c>
      <c r="L217" s="13">
        <v>72013.0</v>
      </c>
      <c r="M217" s="4" t="s">
        <v>49</v>
      </c>
      <c r="N217" s="4" t="s">
        <v>62</v>
      </c>
      <c r="O217" s="4" t="s">
        <v>57</v>
      </c>
      <c r="P217" s="7"/>
      <c r="Q217" s="7"/>
      <c r="R217" s="7"/>
      <c r="S217" s="7"/>
      <c r="T217" s="7"/>
      <c r="U217" s="7"/>
      <c r="V217" s="7"/>
    </row>
    <row r="218" ht="14.25" customHeight="1">
      <c r="A218" s="4">
        <v>20097.0</v>
      </c>
      <c r="B218" s="11">
        <v>45847.0</v>
      </c>
      <c r="C218" s="4" t="s">
        <v>24</v>
      </c>
      <c r="D218" s="4" t="s">
        <v>52</v>
      </c>
      <c r="E218" s="4" t="s">
        <v>47</v>
      </c>
      <c r="F218" s="4" t="s">
        <v>65</v>
      </c>
      <c r="G218" s="4">
        <v>15.0</v>
      </c>
      <c r="H218" s="13">
        <v>1870.0</v>
      </c>
      <c r="I218" s="13">
        <v>28050.0</v>
      </c>
      <c r="J218" s="4">
        <v>0.0</v>
      </c>
      <c r="K218" s="13">
        <v>0.0</v>
      </c>
      <c r="L218" s="13">
        <v>28050.0</v>
      </c>
      <c r="M218" s="4" t="s">
        <v>81</v>
      </c>
      <c r="N218" s="4" t="s">
        <v>72</v>
      </c>
      <c r="O218" s="4" t="s">
        <v>69</v>
      </c>
      <c r="P218" s="7"/>
      <c r="Q218" s="7"/>
      <c r="R218" s="7"/>
      <c r="S218" s="7"/>
      <c r="T218" s="7"/>
      <c r="U218" s="7"/>
      <c r="V218" s="7"/>
    </row>
    <row r="219" ht="14.25" customHeight="1">
      <c r="A219" s="4">
        <v>20202.0</v>
      </c>
      <c r="B219" s="11">
        <v>45847.0</v>
      </c>
      <c r="C219" s="4" t="s">
        <v>84</v>
      </c>
      <c r="D219" s="4" t="s">
        <v>46</v>
      </c>
      <c r="E219" s="4" t="s">
        <v>59</v>
      </c>
      <c r="F219" s="4" t="s">
        <v>79</v>
      </c>
      <c r="G219" s="4">
        <v>10.0</v>
      </c>
      <c r="H219" s="13">
        <v>68.0</v>
      </c>
      <c r="I219" s="13">
        <v>680.0</v>
      </c>
      <c r="J219" s="4">
        <v>10.0</v>
      </c>
      <c r="K219" s="13">
        <v>68.0</v>
      </c>
      <c r="L219" s="13">
        <v>612.0</v>
      </c>
      <c r="M219" s="4" t="s">
        <v>49</v>
      </c>
      <c r="N219" s="4" t="s">
        <v>56</v>
      </c>
      <c r="O219" s="4" t="s">
        <v>57</v>
      </c>
      <c r="P219" s="7"/>
      <c r="Q219" s="7"/>
      <c r="R219" s="7"/>
      <c r="S219" s="7"/>
      <c r="T219" s="7"/>
      <c r="U219" s="7"/>
      <c r="V219" s="7"/>
    </row>
    <row r="220" ht="14.25" customHeight="1">
      <c r="A220" s="4">
        <v>20126.0</v>
      </c>
      <c r="B220" s="11">
        <v>45848.0</v>
      </c>
      <c r="C220" s="4" t="s">
        <v>89</v>
      </c>
      <c r="D220" s="4" t="s">
        <v>46</v>
      </c>
      <c r="E220" s="4" t="s">
        <v>59</v>
      </c>
      <c r="F220" s="4" t="s">
        <v>86</v>
      </c>
      <c r="G220" s="4">
        <v>13.0</v>
      </c>
      <c r="H220" s="13">
        <v>86.0</v>
      </c>
      <c r="I220" s="13">
        <v>1118.0</v>
      </c>
      <c r="J220" s="4">
        <v>0.0</v>
      </c>
      <c r="K220" s="13">
        <v>0.0</v>
      </c>
      <c r="L220" s="13">
        <v>1118.0</v>
      </c>
      <c r="M220" s="4" t="s">
        <v>55</v>
      </c>
      <c r="N220" s="4" t="s">
        <v>62</v>
      </c>
      <c r="O220" s="4" t="s">
        <v>57</v>
      </c>
      <c r="P220" s="7"/>
      <c r="Q220" s="7"/>
      <c r="R220" s="7"/>
      <c r="S220" s="7"/>
      <c r="T220" s="7"/>
      <c r="U220" s="7"/>
      <c r="V220" s="7"/>
    </row>
    <row r="221" ht="14.25" customHeight="1">
      <c r="A221" s="4">
        <v>20271.0</v>
      </c>
      <c r="B221" s="11">
        <v>45848.0</v>
      </c>
      <c r="C221" s="4" t="s">
        <v>73</v>
      </c>
      <c r="D221" s="4" t="s">
        <v>52</v>
      </c>
      <c r="E221" s="4" t="s">
        <v>26</v>
      </c>
      <c r="F221" s="4" t="s">
        <v>70</v>
      </c>
      <c r="G221" s="4">
        <v>2.0</v>
      </c>
      <c r="H221" s="13">
        <v>637.0</v>
      </c>
      <c r="I221" s="13">
        <v>1274.0</v>
      </c>
      <c r="J221" s="4">
        <v>10.0</v>
      </c>
      <c r="K221" s="13">
        <v>127.0</v>
      </c>
      <c r="L221" s="13">
        <v>1147.0</v>
      </c>
      <c r="M221" s="4" t="s">
        <v>49</v>
      </c>
      <c r="N221" s="4" t="s">
        <v>62</v>
      </c>
      <c r="O221" s="4" t="s">
        <v>44</v>
      </c>
      <c r="P221" s="7"/>
      <c r="Q221" s="7"/>
      <c r="R221" s="7"/>
      <c r="S221" s="7"/>
      <c r="T221" s="7"/>
      <c r="U221" s="7"/>
      <c r="V221" s="7"/>
    </row>
    <row r="222" ht="14.25" customHeight="1">
      <c r="A222" s="4">
        <v>20135.0</v>
      </c>
      <c r="B222" s="11">
        <v>45849.0</v>
      </c>
      <c r="C222" s="4" t="s">
        <v>63</v>
      </c>
      <c r="D222" s="4" t="s">
        <v>64</v>
      </c>
      <c r="E222" s="4" t="s">
        <v>59</v>
      </c>
      <c r="F222" s="4" t="s">
        <v>79</v>
      </c>
      <c r="G222" s="4">
        <v>6.0</v>
      </c>
      <c r="H222" s="13">
        <v>110.0</v>
      </c>
      <c r="I222" s="13">
        <v>660.0</v>
      </c>
      <c r="J222" s="4">
        <v>20.0</v>
      </c>
      <c r="K222" s="13">
        <v>132.0</v>
      </c>
      <c r="L222" s="13">
        <v>528.0</v>
      </c>
      <c r="M222" s="4" t="s">
        <v>68</v>
      </c>
      <c r="N222" s="4" t="s">
        <v>50</v>
      </c>
      <c r="O222" s="4" t="s">
        <v>69</v>
      </c>
      <c r="P222" s="7"/>
      <c r="Q222" s="7"/>
      <c r="R222" s="7"/>
      <c r="S222" s="7"/>
      <c r="T222" s="7"/>
      <c r="U222" s="7"/>
      <c r="V222" s="7"/>
    </row>
    <row r="223" ht="14.25" customHeight="1">
      <c r="A223" s="4">
        <v>20199.0</v>
      </c>
      <c r="B223" s="11">
        <v>45851.0</v>
      </c>
      <c r="C223" s="4" t="s">
        <v>93</v>
      </c>
      <c r="D223" s="4" t="s">
        <v>25</v>
      </c>
      <c r="E223" s="4" t="s">
        <v>26</v>
      </c>
      <c r="F223" s="4" t="s">
        <v>100</v>
      </c>
      <c r="G223" s="4">
        <v>13.0</v>
      </c>
      <c r="H223" s="13">
        <v>342.0</v>
      </c>
      <c r="I223" s="13">
        <v>4446.0</v>
      </c>
      <c r="J223" s="4">
        <v>0.0</v>
      </c>
      <c r="K223" s="13">
        <v>0.0</v>
      </c>
      <c r="L223" s="13">
        <v>4446.0</v>
      </c>
      <c r="M223" s="4" t="s">
        <v>106</v>
      </c>
      <c r="N223" s="4" t="s">
        <v>50</v>
      </c>
      <c r="O223" s="4" t="s">
        <v>57</v>
      </c>
      <c r="P223" s="7"/>
      <c r="Q223" s="7"/>
      <c r="R223" s="7"/>
      <c r="S223" s="7"/>
      <c r="T223" s="7"/>
      <c r="U223" s="7"/>
      <c r="V223" s="7"/>
    </row>
    <row r="224" ht="14.25" customHeight="1">
      <c r="A224" s="4">
        <v>20388.0</v>
      </c>
      <c r="B224" s="11">
        <v>45851.0</v>
      </c>
      <c r="C224" s="4" t="s">
        <v>51</v>
      </c>
      <c r="D224" s="4" t="s">
        <v>52</v>
      </c>
      <c r="E224" s="4" t="s">
        <v>77</v>
      </c>
      <c r="F224" s="4" t="s">
        <v>90</v>
      </c>
      <c r="G224" s="4">
        <v>1.0</v>
      </c>
      <c r="H224" s="13">
        <v>5182.0</v>
      </c>
      <c r="I224" s="13">
        <v>5182.0</v>
      </c>
      <c r="J224" s="4">
        <v>20.0</v>
      </c>
      <c r="K224" s="13">
        <v>1036.0</v>
      </c>
      <c r="L224" s="13">
        <v>4146.0</v>
      </c>
      <c r="M224" s="4" t="s">
        <v>68</v>
      </c>
      <c r="N224" s="4" t="s">
        <v>56</v>
      </c>
      <c r="O224" s="4" t="s">
        <v>69</v>
      </c>
      <c r="P224" s="7"/>
      <c r="Q224" s="7"/>
      <c r="R224" s="7"/>
      <c r="S224" s="7"/>
      <c r="T224" s="7"/>
      <c r="U224" s="7"/>
      <c r="V224" s="7"/>
    </row>
    <row r="225" ht="14.25" customHeight="1">
      <c r="A225" s="4">
        <v>20004.0</v>
      </c>
      <c r="B225" s="11">
        <v>45852.0</v>
      </c>
      <c r="C225" s="4" t="s">
        <v>58</v>
      </c>
      <c r="D225" s="4" t="s">
        <v>25</v>
      </c>
      <c r="E225" s="3" t="s">
        <v>47</v>
      </c>
      <c r="F225" s="4" t="s">
        <v>95</v>
      </c>
      <c r="G225" s="4">
        <v>10.0</v>
      </c>
      <c r="H225" s="13">
        <v>387.0</v>
      </c>
      <c r="I225" s="13">
        <v>3870.0</v>
      </c>
      <c r="J225" s="4">
        <v>10.0</v>
      </c>
      <c r="K225" s="13">
        <v>387.0</v>
      </c>
      <c r="L225" s="13">
        <v>3483.0</v>
      </c>
      <c r="M225" s="4" t="s">
        <v>71</v>
      </c>
      <c r="N225" s="4" t="s">
        <v>43</v>
      </c>
      <c r="O225" s="4" t="s">
        <v>69</v>
      </c>
      <c r="P225" s="7"/>
      <c r="Q225" s="7"/>
      <c r="R225" s="7"/>
      <c r="S225" s="7"/>
      <c r="T225" s="7"/>
      <c r="U225" s="7"/>
      <c r="V225" s="7"/>
    </row>
    <row r="226" ht="14.25" customHeight="1">
      <c r="A226" s="4">
        <v>20279.0</v>
      </c>
      <c r="B226" s="11">
        <v>45853.0</v>
      </c>
      <c r="C226" s="4" t="s">
        <v>24</v>
      </c>
      <c r="D226" s="4" t="s">
        <v>52</v>
      </c>
      <c r="E226" s="4" t="s">
        <v>77</v>
      </c>
      <c r="F226" s="4" t="s">
        <v>101</v>
      </c>
      <c r="G226" s="4">
        <v>4.0</v>
      </c>
      <c r="H226" s="13">
        <v>3152.0</v>
      </c>
      <c r="I226" s="13">
        <v>12608.0</v>
      </c>
      <c r="J226" s="4">
        <v>0.0</v>
      </c>
      <c r="K226" s="13">
        <v>0.0</v>
      </c>
      <c r="L226" s="13">
        <v>12608.0</v>
      </c>
      <c r="M226" s="4" t="s">
        <v>49</v>
      </c>
      <c r="N226" s="4" t="s">
        <v>56</v>
      </c>
      <c r="O226" s="4" t="s">
        <v>57</v>
      </c>
      <c r="P226" s="7"/>
      <c r="Q226" s="7"/>
      <c r="R226" s="7"/>
      <c r="S226" s="7"/>
      <c r="T226" s="7"/>
      <c r="U226" s="7"/>
      <c r="V226" s="7"/>
    </row>
    <row r="227" ht="14.25" customHeight="1">
      <c r="A227" s="4">
        <v>20213.0</v>
      </c>
      <c r="B227" s="11">
        <v>45854.0</v>
      </c>
      <c r="C227" s="4" t="s">
        <v>76</v>
      </c>
      <c r="D227" s="4" t="s">
        <v>64</v>
      </c>
      <c r="E227" s="4" t="s">
        <v>26</v>
      </c>
      <c r="F227" s="4" t="s">
        <v>70</v>
      </c>
      <c r="G227" s="4">
        <v>12.0</v>
      </c>
      <c r="H227" s="13">
        <v>474.0</v>
      </c>
      <c r="I227" s="13">
        <v>5688.0</v>
      </c>
      <c r="J227" s="4">
        <v>20.0</v>
      </c>
      <c r="K227" s="13">
        <v>1138.0</v>
      </c>
      <c r="L227" s="13">
        <v>4550.0</v>
      </c>
      <c r="M227" s="4" t="s">
        <v>71</v>
      </c>
      <c r="N227" s="4" t="s">
        <v>72</v>
      </c>
      <c r="O227" s="4" t="s">
        <v>57</v>
      </c>
      <c r="P227" s="7"/>
      <c r="Q227" s="7"/>
      <c r="R227" s="7"/>
      <c r="S227" s="7"/>
      <c r="T227" s="7"/>
      <c r="U227" s="7"/>
      <c r="V227" s="7"/>
    </row>
    <row r="228" ht="14.25" customHeight="1">
      <c r="A228" s="4">
        <v>20397.0</v>
      </c>
      <c r="B228" s="11">
        <v>45854.0</v>
      </c>
      <c r="C228" s="4" t="s">
        <v>51</v>
      </c>
      <c r="D228" s="4" t="s">
        <v>52</v>
      </c>
      <c r="E228" s="4" t="s">
        <v>47</v>
      </c>
      <c r="F228" s="4" t="s">
        <v>103</v>
      </c>
      <c r="G228" s="4">
        <v>5.0</v>
      </c>
      <c r="H228" s="13">
        <v>2223.0</v>
      </c>
      <c r="I228" s="13">
        <v>11115.0</v>
      </c>
      <c r="J228" s="4">
        <v>5.0</v>
      </c>
      <c r="K228" s="13">
        <v>556.0</v>
      </c>
      <c r="L228" s="13">
        <v>10559.0</v>
      </c>
      <c r="M228" s="4" t="s">
        <v>81</v>
      </c>
      <c r="N228" s="4" t="s">
        <v>50</v>
      </c>
      <c r="O228" s="4" t="s">
        <v>57</v>
      </c>
      <c r="P228" s="7"/>
      <c r="Q228" s="7"/>
      <c r="R228" s="7"/>
      <c r="S228" s="7"/>
      <c r="T228" s="7"/>
      <c r="U228" s="7"/>
      <c r="V228" s="7"/>
    </row>
    <row r="229" ht="14.25" customHeight="1">
      <c r="A229" s="4">
        <v>20150.0</v>
      </c>
      <c r="B229" s="11">
        <v>45856.0</v>
      </c>
      <c r="C229" s="4" t="s">
        <v>58</v>
      </c>
      <c r="D229" s="4" t="s">
        <v>25</v>
      </c>
      <c r="E229" s="4" t="s">
        <v>53</v>
      </c>
      <c r="F229" s="4" t="s">
        <v>95</v>
      </c>
      <c r="G229" s="4">
        <v>12.0</v>
      </c>
      <c r="H229" s="13">
        <v>1552.0</v>
      </c>
      <c r="I229" s="13">
        <v>18624.0</v>
      </c>
      <c r="J229" s="4">
        <v>0.0</v>
      </c>
      <c r="K229" s="13">
        <v>0.0</v>
      </c>
      <c r="L229" s="13">
        <v>18624.0</v>
      </c>
      <c r="M229" s="4" t="s">
        <v>71</v>
      </c>
      <c r="N229" s="4" t="s">
        <v>50</v>
      </c>
      <c r="O229" s="4" t="s">
        <v>69</v>
      </c>
      <c r="P229" s="7"/>
      <c r="Q229" s="7"/>
      <c r="R229" s="7"/>
      <c r="S229" s="7"/>
      <c r="T229" s="7"/>
      <c r="U229" s="7"/>
      <c r="V229" s="7"/>
    </row>
    <row r="230" ht="14.25" customHeight="1">
      <c r="A230" s="4">
        <v>20022.0</v>
      </c>
      <c r="B230" s="11">
        <v>45857.0</v>
      </c>
      <c r="C230" s="4" t="s">
        <v>66</v>
      </c>
      <c r="D230" s="4" t="s">
        <v>46</v>
      </c>
      <c r="E230" s="4" t="s">
        <v>59</v>
      </c>
      <c r="F230" s="4" t="s">
        <v>85</v>
      </c>
      <c r="G230" s="4">
        <v>7.0</v>
      </c>
      <c r="H230" s="13">
        <v>211.0</v>
      </c>
      <c r="I230" s="13">
        <v>1477.0</v>
      </c>
      <c r="J230" s="4">
        <v>0.0</v>
      </c>
      <c r="K230" s="13">
        <v>0.0</v>
      </c>
      <c r="L230" s="13">
        <v>1477.0</v>
      </c>
      <c r="M230" s="4" t="s">
        <v>49</v>
      </c>
      <c r="N230" s="4" t="s">
        <v>56</v>
      </c>
      <c r="O230" s="4" t="s">
        <v>69</v>
      </c>
      <c r="P230" s="7"/>
      <c r="Q230" s="7"/>
      <c r="R230" s="7"/>
      <c r="S230" s="7"/>
      <c r="T230" s="7"/>
      <c r="U230" s="7"/>
      <c r="V230" s="7"/>
    </row>
    <row r="231" ht="14.25" customHeight="1">
      <c r="A231" s="4">
        <v>20216.0</v>
      </c>
      <c r="B231" s="11">
        <v>45857.0</v>
      </c>
      <c r="C231" s="4" t="s">
        <v>84</v>
      </c>
      <c r="D231" s="4" t="s">
        <v>46</v>
      </c>
      <c r="E231" s="4" t="s">
        <v>53</v>
      </c>
      <c r="F231" s="4" t="s">
        <v>102</v>
      </c>
      <c r="G231" s="4">
        <v>2.0</v>
      </c>
      <c r="H231" s="13">
        <v>1209.0</v>
      </c>
      <c r="I231" s="13">
        <v>2418.0</v>
      </c>
      <c r="J231" s="4">
        <v>0.0</v>
      </c>
      <c r="K231" s="13">
        <v>0.0</v>
      </c>
      <c r="L231" s="13">
        <v>2418.0</v>
      </c>
      <c r="M231" s="4" t="s">
        <v>68</v>
      </c>
      <c r="N231" s="4" t="s">
        <v>62</v>
      </c>
      <c r="O231" s="4" t="s">
        <v>69</v>
      </c>
      <c r="P231" s="7"/>
      <c r="Q231" s="7"/>
      <c r="R231" s="7"/>
      <c r="S231" s="7"/>
      <c r="T231" s="7"/>
      <c r="U231" s="7"/>
      <c r="V231" s="7"/>
    </row>
    <row r="232" ht="14.25" customHeight="1">
      <c r="A232" s="4">
        <v>20163.0</v>
      </c>
      <c r="B232" s="11">
        <v>45859.0</v>
      </c>
      <c r="C232" s="4" t="s">
        <v>73</v>
      </c>
      <c r="D232" s="4" t="s">
        <v>52</v>
      </c>
      <c r="E232" s="4" t="s">
        <v>77</v>
      </c>
      <c r="F232" s="4" t="s">
        <v>78</v>
      </c>
      <c r="G232" s="4">
        <v>10.0</v>
      </c>
      <c r="H232" s="13">
        <v>1298.0</v>
      </c>
      <c r="I232" s="13">
        <v>12980.0</v>
      </c>
      <c r="J232" s="4">
        <v>10.0</v>
      </c>
      <c r="K232" s="13">
        <v>1298.0</v>
      </c>
      <c r="L232" s="13">
        <v>11682.0</v>
      </c>
      <c r="M232" s="4" t="s">
        <v>42</v>
      </c>
      <c r="N232" s="4" t="s">
        <v>72</v>
      </c>
      <c r="O232" s="4" t="s">
        <v>57</v>
      </c>
      <c r="P232" s="7"/>
      <c r="Q232" s="7"/>
      <c r="R232" s="7"/>
      <c r="S232" s="7"/>
      <c r="T232" s="7"/>
      <c r="U232" s="7"/>
      <c r="V232" s="7"/>
    </row>
    <row r="233" ht="14.25" customHeight="1">
      <c r="A233" s="4">
        <v>20409.0</v>
      </c>
      <c r="B233" s="11">
        <v>45859.0</v>
      </c>
      <c r="C233" s="4" t="s">
        <v>80</v>
      </c>
      <c r="D233" s="4" t="s">
        <v>64</v>
      </c>
      <c r="E233" s="4" t="s">
        <v>59</v>
      </c>
      <c r="F233" s="4" t="s">
        <v>79</v>
      </c>
      <c r="G233" s="4">
        <v>12.0</v>
      </c>
      <c r="H233" s="13">
        <v>412.0</v>
      </c>
      <c r="I233" s="13">
        <v>4944.0</v>
      </c>
      <c r="J233" s="4">
        <v>0.0</v>
      </c>
      <c r="K233" s="13">
        <v>0.0</v>
      </c>
      <c r="L233" s="13">
        <v>4944.0</v>
      </c>
      <c r="M233" s="4" t="s">
        <v>106</v>
      </c>
      <c r="N233" s="4" t="s">
        <v>43</v>
      </c>
      <c r="O233" s="4" t="s">
        <v>57</v>
      </c>
      <c r="P233" s="7"/>
      <c r="Q233" s="7"/>
      <c r="R233" s="7"/>
      <c r="S233" s="7"/>
      <c r="T233" s="7"/>
      <c r="U233" s="7"/>
      <c r="V233" s="7"/>
    </row>
    <row r="234" ht="14.25" customHeight="1">
      <c r="A234" s="4">
        <v>20090.0</v>
      </c>
      <c r="B234" s="11">
        <v>45860.0</v>
      </c>
      <c r="C234" s="4" t="s">
        <v>66</v>
      </c>
      <c r="D234" s="4" t="s">
        <v>46</v>
      </c>
      <c r="E234" s="4" t="s">
        <v>26</v>
      </c>
      <c r="F234" s="4" t="s">
        <v>70</v>
      </c>
      <c r="G234" s="4">
        <v>14.0</v>
      </c>
      <c r="H234" s="13">
        <v>170.0</v>
      </c>
      <c r="I234" s="13">
        <v>2380.0</v>
      </c>
      <c r="J234" s="4">
        <v>20.0</v>
      </c>
      <c r="K234" s="13">
        <v>476.0</v>
      </c>
      <c r="L234" s="13">
        <v>1904.0</v>
      </c>
      <c r="M234" s="4" t="s">
        <v>96</v>
      </c>
      <c r="N234" s="4" t="s">
        <v>50</v>
      </c>
      <c r="O234" s="4" t="s">
        <v>57</v>
      </c>
      <c r="P234" s="7"/>
      <c r="Q234" s="7"/>
      <c r="R234" s="7"/>
      <c r="S234" s="7"/>
      <c r="T234" s="7"/>
      <c r="U234" s="7"/>
      <c r="V234" s="7"/>
    </row>
    <row r="235" ht="14.25" customHeight="1">
      <c r="A235" s="4">
        <v>20115.0</v>
      </c>
      <c r="B235" s="11">
        <v>45860.0</v>
      </c>
      <c r="C235" s="4" t="s">
        <v>93</v>
      </c>
      <c r="D235" s="4" t="s">
        <v>25</v>
      </c>
      <c r="E235" s="4" t="s">
        <v>26</v>
      </c>
      <c r="F235" s="4" t="s">
        <v>100</v>
      </c>
      <c r="G235" s="4">
        <v>5.0</v>
      </c>
      <c r="H235" s="13">
        <v>336.0</v>
      </c>
      <c r="I235" s="13">
        <v>1680.0</v>
      </c>
      <c r="J235" s="4">
        <v>0.0</v>
      </c>
      <c r="K235" s="13">
        <v>0.0</v>
      </c>
      <c r="L235" s="13">
        <v>1680.0</v>
      </c>
      <c r="M235" s="4" t="s">
        <v>71</v>
      </c>
      <c r="N235" s="4" t="s">
        <v>62</v>
      </c>
      <c r="O235" s="4" t="s">
        <v>44</v>
      </c>
      <c r="P235" s="7"/>
      <c r="Q235" s="7"/>
      <c r="R235" s="7"/>
      <c r="S235" s="7"/>
      <c r="T235" s="7"/>
      <c r="U235" s="7"/>
      <c r="V235" s="7"/>
    </row>
    <row r="236" ht="14.25" customHeight="1">
      <c r="A236" s="4">
        <v>20420.0</v>
      </c>
      <c r="B236" s="11">
        <v>45861.0</v>
      </c>
      <c r="C236" s="3" t="s">
        <v>76</v>
      </c>
      <c r="D236" s="4" t="s">
        <v>25</v>
      </c>
      <c r="E236" s="4" t="s">
        <v>26</v>
      </c>
      <c r="F236" s="4" t="s">
        <v>104</v>
      </c>
      <c r="G236" s="4">
        <v>15.0</v>
      </c>
      <c r="H236" s="13">
        <v>604.0</v>
      </c>
      <c r="I236" s="13">
        <v>9060.0</v>
      </c>
      <c r="J236" s="4">
        <v>10.0</v>
      </c>
      <c r="K236" s="13">
        <v>906.0</v>
      </c>
      <c r="L236" s="13">
        <v>8154.0</v>
      </c>
      <c r="M236" s="4" t="s">
        <v>71</v>
      </c>
      <c r="N236" s="4" t="s">
        <v>62</v>
      </c>
      <c r="O236" s="4" t="s">
        <v>44</v>
      </c>
      <c r="P236" s="7"/>
      <c r="Q236" s="7"/>
      <c r="R236" s="7"/>
      <c r="S236" s="7"/>
      <c r="T236" s="7"/>
      <c r="U236" s="7"/>
      <c r="V236" s="7"/>
    </row>
    <row r="237" ht="14.25" customHeight="1">
      <c r="A237" s="4">
        <v>20104.0</v>
      </c>
      <c r="B237" s="11">
        <v>45863.0</v>
      </c>
      <c r="C237" s="4" t="s">
        <v>24</v>
      </c>
      <c r="D237" s="4" t="s">
        <v>52</v>
      </c>
      <c r="E237" s="4" t="s">
        <v>26</v>
      </c>
      <c r="F237" s="4" t="s">
        <v>111</v>
      </c>
      <c r="G237" s="4">
        <v>12.0</v>
      </c>
      <c r="H237" s="13">
        <v>574.0</v>
      </c>
      <c r="I237" s="13">
        <v>6888.0</v>
      </c>
      <c r="J237" s="4">
        <v>0.0</v>
      </c>
      <c r="K237" s="13">
        <v>0.0</v>
      </c>
      <c r="L237" s="13">
        <v>6888.0</v>
      </c>
      <c r="M237" s="4" t="s">
        <v>68</v>
      </c>
      <c r="N237" s="4" t="s">
        <v>72</v>
      </c>
      <c r="O237" s="4" t="s">
        <v>57</v>
      </c>
      <c r="P237" s="7"/>
      <c r="Q237" s="7"/>
      <c r="R237" s="7"/>
      <c r="S237" s="7"/>
      <c r="T237" s="7"/>
      <c r="U237" s="7"/>
      <c r="V237" s="7"/>
    </row>
    <row r="238" ht="14.25" customHeight="1">
      <c r="A238" s="4">
        <v>20096.0</v>
      </c>
      <c r="B238" s="11">
        <v>45867.0</v>
      </c>
      <c r="C238" s="4" t="s">
        <v>58</v>
      </c>
      <c r="D238" s="4" t="s">
        <v>25</v>
      </c>
      <c r="E238" s="4" t="s">
        <v>77</v>
      </c>
      <c r="F238" s="4" t="s">
        <v>90</v>
      </c>
      <c r="G238" s="4">
        <v>1.0</v>
      </c>
      <c r="H238" s="13">
        <v>4935.0</v>
      </c>
      <c r="I238" s="13">
        <v>4935.0</v>
      </c>
      <c r="J238" s="4">
        <v>10.0</v>
      </c>
      <c r="K238" s="13">
        <v>494.0</v>
      </c>
      <c r="L238" s="13">
        <v>4441.0</v>
      </c>
      <c r="M238" s="4" t="s">
        <v>68</v>
      </c>
      <c r="N238" s="4" t="s">
        <v>43</v>
      </c>
      <c r="O238" s="4" t="s">
        <v>44</v>
      </c>
      <c r="P238" s="7"/>
      <c r="Q238" s="7"/>
      <c r="R238" s="7"/>
      <c r="S238" s="7"/>
      <c r="T238" s="7"/>
      <c r="U238" s="7"/>
      <c r="V238" s="7"/>
    </row>
    <row r="239" ht="14.25" customHeight="1">
      <c r="A239" s="4">
        <v>20269.0</v>
      </c>
      <c r="B239" s="11">
        <v>45867.0</v>
      </c>
      <c r="C239" s="4" t="s">
        <v>97</v>
      </c>
      <c r="D239" s="4" t="s">
        <v>25</v>
      </c>
      <c r="E239" s="4" t="s">
        <v>77</v>
      </c>
      <c r="F239" s="4" t="s">
        <v>88</v>
      </c>
      <c r="G239" s="4">
        <v>6.0</v>
      </c>
      <c r="H239" s="13">
        <v>3644.0</v>
      </c>
      <c r="I239" s="13">
        <v>21864.0</v>
      </c>
      <c r="J239" s="4">
        <v>20.0</v>
      </c>
      <c r="K239" s="13">
        <v>4373.0</v>
      </c>
      <c r="L239" s="13">
        <v>17491.0</v>
      </c>
      <c r="M239" s="4" t="s">
        <v>96</v>
      </c>
      <c r="N239" s="4" t="s">
        <v>62</v>
      </c>
      <c r="O239" s="4" t="s">
        <v>69</v>
      </c>
      <c r="P239" s="7"/>
      <c r="Q239" s="7"/>
      <c r="R239" s="7"/>
      <c r="S239" s="7"/>
      <c r="T239" s="7"/>
      <c r="U239" s="7"/>
      <c r="V239" s="7"/>
    </row>
    <row r="240" ht="14.25" customHeight="1">
      <c r="A240" s="4">
        <v>20296.0</v>
      </c>
      <c r="B240" s="11">
        <v>45867.0</v>
      </c>
      <c r="C240" s="4" t="s">
        <v>66</v>
      </c>
      <c r="D240" s="4" t="s">
        <v>46</v>
      </c>
      <c r="E240" s="4" t="s">
        <v>53</v>
      </c>
      <c r="F240" s="4" t="s">
        <v>95</v>
      </c>
      <c r="G240" s="4">
        <v>4.0</v>
      </c>
      <c r="H240" s="13">
        <v>1103.0</v>
      </c>
      <c r="I240" s="13">
        <v>4412.0</v>
      </c>
      <c r="J240" s="4">
        <v>20.0</v>
      </c>
      <c r="K240" s="13">
        <v>882.0</v>
      </c>
      <c r="L240" s="13">
        <v>3530.0</v>
      </c>
      <c r="M240" s="4" t="s">
        <v>42</v>
      </c>
      <c r="N240" s="4" t="s">
        <v>50</v>
      </c>
      <c r="O240" s="4" t="s">
        <v>69</v>
      </c>
      <c r="P240" s="7"/>
      <c r="Q240" s="7"/>
      <c r="R240" s="7"/>
      <c r="S240" s="7"/>
      <c r="T240" s="7"/>
      <c r="U240" s="7"/>
      <c r="V240" s="7"/>
    </row>
    <row r="241" ht="14.25" customHeight="1">
      <c r="A241" s="4">
        <v>20322.0</v>
      </c>
      <c r="B241" s="11">
        <v>45869.0</v>
      </c>
      <c r="C241" s="4" t="s">
        <v>93</v>
      </c>
      <c r="D241" s="4" t="s">
        <v>25</v>
      </c>
      <c r="E241" s="4" t="s">
        <v>77</v>
      </c>
      <c r="F241" s="4" t="s">
        <v>78</v>
      </c>
      <c r="G241" s="4">
        <v>4.0</v>
      </c>
      <c r="H241" s="13">
        <v>4252.0</v>
      </c>
      <c r="I241" s="13">
        <v>17008.0</v>
      </c>
      <c r="J241" s="4">
        <v>0.0</v>
      </c>
      <c r="K241" s="13">
        <v>0.0</v>
      </c>
      <c r="L241" s="13">
        <v>17008.0</v>
      </c>
      <c r="M241" s="4" t="s">
        <v>68</v>
      </c>
      <c r="N241" s="4" t="s">
        <v>62</v>
      </c>
      <c r="O241" s="4" t="s">
        <v>44</v>
      </c>
      <c r="P241" s="7"/>
      <c r="Q241" s="7"/>
      <c r="R241" s="7"/>
      <c r="S241" s="7"/>
      <c r="T241" s="7"/>
      <c r="U241" s="7"/>
      <c r="V241" s="7"/>
    </row>
    <row r="242" ht="14.25" customHeight="1">
      <c r="A242" s="4">
        <v>20394.0</v>
      </c>
      <c r="B242" s="11">
        <v>45869.0</v>
      </c>
      <c r="C242" s="4" t="s">
        <v>82</v>
      </c>
      <c r="D242" s="4" t="s">
        <v>52</v>
      </c>
      <c r="E242" s="4" t="s">
        <v>77</v>
      </c>
      <c r="F242" s="4" t="s">
        <v>101</v>
      </c>
      <c r="G242" s="4">
        <v>9.0</v>
      </c>
      <c r="H242" s="13">
        <v>2978.0</v>
      </c>
      <c r="I242" s="13">
        <v>26802.0</v>
      </c>
      <c r="J242" s="4">
        <v>20.0</v>
      </c>
      <c r="K242" s="13">
        <v>5360.0</v>
      </c>
      <c r="L242" s="13">
        <v>21442.0</v>
      </c>
      <c r="M242" s="4" t="s">
        <v>61</v>
      </c>
      <c r="N242" s="4" t="s">
        <v>50</v>
      </c>
      <c r="O242" s="4" t="s">
        <v>57</v>
      </c>
      <c r="P242" s="7"/>
      <c r="Q242" s="7"/>
      <c r="R242" s="7"/>
      <c r="S242" s="7"/>
      <c r="T242" s="7"/>
      <c r="U242" s="7"/>
      <c r="V242" s="7"/>
    </row>
    <row r="243" ht="14.25" customHeight="1">
      <c r="A243" s="4">
        <v>20203.0</v>
      </c>
      <c r="B243" s="11">
        <v>45871.0</v>
      </c>
      <c r="C243" s="4" t="s">
        <v>89</v>
      </c>
      <c r="D243" s="4" t="s">
        <v>46</v>
      </c>
      <c r="E243" s="4" t="s">
        <v>77</v>
      </c>
      <c r="F243" s="4" t="s">
        <v>78</v>
      </c>
      <c r="G243" s="4">
        <v>6.0</v>
      </c>
      <c r="H243" s="13">
        <v>4011.0</v>
      </c>
      <c r="I243" s="13">
        <v>24066.0</v>
      </c>
      <c r="J243" s="4">
        <v>10.0</v>
      </c>
      <c r="K243" s="13">
        <v>2407.0</v>
      </c>
      <c r="L243" s="13">
        <v>21659.0</v>
      </c>
      <c r="M243" s="4" t="s">
        <v>55</v>
      </c>
      <c r="N243" s="4" t="s">
        <v>72</v>
      </c>
      <c r="O243" s="4" t="s">
        <v>44</v>
      </c>
      <c r="P243" s="7"/>
      <c r="Q243" s="7"/>
      <c r="R243" s="7"/>
      <c r="S243" s="7"/>
      <c r="T243" s="7"/>
      <c r="U243" s="7"/>
      <c r="V243" s="7"/>
    </row>
    <row r="244" ht="14.25" customHeight="1">
      <c r="A244" s="4">
        <v>20308.0</v>
      </c>
      <c r="B244" s="11">
        <v>45871.0</v>
      </c>
      <c r="C244" s="4" t="s">
        <v>92</v>
      </c>
      <c r="D244" s="4" t="s">
        <v>25</v>
      </c>
      <c r="E244" s="4" t="s">
        <v>77</v>
      </c>
      <c r="F244" s="4" t="s">
        <v>110</v>
      </c>
      <c r="G244" s="4">
        <v>4.0</v>
      </c>
      <c r="H244" s="13">
        <v>6969.0</v>
      </c>
      <c r="I244" s="13">
        <v>27876.0</v>
      </c>
      <c r="J244" s="4">
        <v>20.0</v>
      </c>
      <c r="K244" s="13">
        <v>5575.0</v>
      </c>
      <c r="L244" s="13">
        <v>22301.0</v>
      </c>
      <c r="M244" s="4" t="s">
        <v>55</v>
      </c>
      <c r="N244" s="4" t="s">
        <v>62</v>
      </c>
      <c r="O244" s="4" t="s">
        <v>57</v>
      </c>
      <c r="P244" s="7"/>
      <c r="Q244" s="7"/>
      <c r="R244" s="7"/>
      <c r="S244" s="7"/>
      <c r="T244" s="7"/>
      <c r="U244" s="7"/>
      <c r="V244" s="7"/>
    </row>
    <row r="245" ht="14.25" customHeight="1">
      <c r="A245" s="4">
        <v>20002.0</v>
      </c>
      <c r="B245" s="11">
        <v>45874.0</v>
      </c>
      <c r="C245" s="3" t="s">
        <v>66</v>
      </c>
      <c r="D245" s="4" t="s">
        <v>25</v>
      </c>
      <c r="E245" s="4" t="s">
        <v>26</v>
      </c>
      <c r="F245" s="4" t="s">
        <v>104</v>
      </c>
      <c r="G245" s="4">
        <v>4.0</v>
      </c>
      <c r="H245" s="13">
        <v>358.0</v>
      </c>
      <c r="I245" s="13">
        <v>1432.0</v>
      </c>
      <c r="J245" s="4">
        <v>0.0</v>
      </c>
      <c r="K245" s="13">
        <v>0.0</v>
      </c>
      <c r="L245" s="13">
        <v>1432.0</v>
      </c>
      <c r="M245" s="4" t="s">
        <v>87</v>
      </c>
      <c r="N245" s="4" t="s">
        <v>43</v>
      </c>
      <c r="O245" s="4" t="s">
        <v>69</v>
      </c>
      <c r="P245" s="7"/>
      <c r="Q245" s="7" t="str">
        <f t="array" ref="Q245:Q249">UNIQUE(D244:D662)</f>
        <v>North</v>
      </c>
      <c r="R245" s="7" t="str">
        <f>SUMIFS(L$2:L$421,$D244:$D662,$Q245,$E244:$F662,R$2)</f>
        <v>#VALUE!</v>
      </c>
      <c r="S245" s="7"/>
      <c r="T245" s="7"/>
      <c r="U245" s="7"/>
      <c r="V245" s="7"/>
    </row>
    <row r="246" ht="14.25" customHeight="1">
      <c r="A246" s="4">
        <v>20019.0</v>
      </c>
      <c r="B246" s="11">
        <v>45874.0</v>
      </c>
      <c r="C246" s="4" t="s">
        <v>24</v>
      </c>
      <c r="D246" s="4" t="s">
        <v>52</v>
      </c>
      <c r="E246" s="4" t="s">
        <v>59</v>
      </c>
      <c r="F246" s="4" t="s">
        <v>79</v>
      </c>
      <c r="G246" s="4">
        <v>11.0</v>
      </c>
      <c r="H246" s="13">
        <v>432.0</v>
      </c>
      <c r="I246" s="13">
        <v>4752.0</v>
      </c>
      <c r="J246" s="4">
        <v>20.0</v>
      </c>
      <c r="K246" s="13">
        <v>950.0</v>
      </c>
      <c r="L246" s="13">
        <v>3802.0</v>
      </c>
      <c r="M246" s="4" t="s">
        <v>71</v>
      </c>
      <c r="N246" s="4" t="s">
        <v>50</v>
      </c>
      <c r="O246" s="4" t="s">
        <v>69</v>
      </c>
      <c r="P246" s="7"/>
      <c r="Q246" s="7" t="s">
        <v>52</v>
      </c>
      <c r="R246" s="7"/>
      <c r="S246" s="7"/>
      <c r="T246" s="7"/>
      <c r="U246" s="7"/>
      <c r="V246" s="7"/>
    </row>
    <row r="247" ht="14.25" customHeight="1">
      <c r="A247" s="4">
        <v>20116.0</v>
      </c>
      <c r="B247" s="11">
        <v>45878.0</v>
      </c>
      <c r="C247" s="4" t="s">
        <v>80</v>
      </c>
      <c r="D247" s="4" t="s">
        <v>64</v>
      </c>
      <c r="E247" s="4" t="s">
        <v>77</v>
      </c>
      <c r="F247" s="4" t="s">
        <v>110</v>
      </c>
      <c r="G247" s="4">
        <v>9.0</v>
      </c>
      <c r="H247" s="13">
        <v>4998.0</v>
      </c>
      <c r="I247" s="13">
        <v>44982.0</v>
      </c>
      <c r="J247" s="4">
        <v>0.0</v>
      </c>
      <c r="K247" s="13">
        <v>0.0</v>
      </c>
      <c r="L247" s="13">
        <v>44982.0</v>
      </c>
      <c r="M247" s="4" t="s">
        <v>61</v>
      </c>
      <c r="N247" s="4" t="s">
        <v>62</v>
      </c>
      <c r="O247" s="4" t="s">
        <v>44</v>
      </c>
      <c r="P247" s="7"/>
      <c r="Q247" s="7" t="s">
        <v>64</v>
      </c>
      <c r="R247" s="7"/>
      <c r="S247" s="7"/>
      <c r="T247" s="7"/>
      <c r="U247" s="7"/>
      <c r="V247" s="7"/>
    </row>
    <row r="248" ht="14.25" customHeight="1">
      <c r="A248" s="4">
        <v>20217.0</v>
      </c>
      <c r="B248" s="11">
        <v>45878.0</v>
      </c>
      <c r="C248" s="4" t="s">
        <v>73</v>
      </c>
      <c r="D248" s="4" t="s">
        <v>52</v>
      </c>
      <c r="E248" s="4" t="s">
        <v>47</v>
      </c>
      <c r="F248" s="4" t="s">
        <v>103</v>
      </c>
      <c r="G248" s="4">
        <v>9.0</v>
      </c>
      <c r="H248" s="13">
        <v>1648.0</v>
      </c>
      <c r="I248" s="13">
        <v>14832.0</v>
      </c>
      <c r="J248" s="4">
        <v>10.0</v>
      </c>
      <c r="K248" s="13">
        <v>1483.0</v>
      </c>
      <c r="L248" s="13">
        <v>13349.0</v>
      </c>
      <c r="M248" s="4" t="s">
        <v>71</v>
      </c>
      <c r="N248" s="4" t="s">
        <v>56</v>
      </c>
      <c r="O248" s="4" t="s">
        <v>57</v>
      </c>
      <c r="P248" s="7"/>
      <c r="Q248" s="7" t="s">
        <v>46</v>
      </c>
      <c r="R248" s="7"/>
      <c r="S248" s="7"/>
      <c r="T248" s="7"/>
      <c r="U248" s="7"/>
      <c r="V248" s="7"/>
    </row>
    <row r="249" ht="14.25" customHeight="1">
      <c r="A249" s="4">
        <v>20012.0</v>
      </c>
      <c r="B249" s="11">
        <v>45880.0</v>
      </c>
      <c r="C249" s="4" t="s">
        <v>80</v>
      </c>
      <c r="D249" s="4" t="s">
        <v>64</v>
      </c>
      <c r="E249" s="4" t="s">
        <v>59</v>
      </c>
      <c r="F249" s="4" t="s">
        <v>79</v>
      </c>
      <c r="G249" s="4">
        <v>12.0</v>
      </c>
      <c r="H249" s="13">
        <v>151.0</v>
      </c>
      <c r="I249" s="13">
        <v>1812.0</v>
      </c>
      <c r="J249" s="4">
        <v>0.0</v>
      </c>
      <c r="K249" s="13">
        <v>0.0</v>
      </c>
      <c r="L249" s="13">
        <v>1812.0</v>
      </c>
      <c r="M249" s="4" t="s">
        <v>96</v>
      </c>
      <c r="N249" s="4" t="s">
        <v>56</v>
      </c>
      <c r="O249" s="4" t="s">
        <v>57</v>
      </c>
      <c r="P249" s="7"/>
      <c r="Q249" s="7"/>
      <c r="R249" s="7"/>
      <c r="S249" s="7"/>
      <c r="T249" s="7"/>
      <c r="U249" s="7"/>
      <c r="V249" s="7"/>
    </row>
    <row r="250" ht="14.25" customHeight="1">
      <c r="A250" s="4">
        <v>20338.0</v>
      </c>
      <c r="B250" s="11">
        <v>45882.0</v>
      </c>
      <c r="C250" s="4" t="s">
        <v>80</v>
      </c>
      <c r="D250" s="4" t="s">
        <v>64</v>
      </c>
      <c r="E250" s="4" t="s">
        <v>47</v>
      </c>
      <c r="F250" s="4" t="s">
        <v>27</v>
      </c>
      <c r="G250" s="4">
        <v>13.0</v>
      </c>
      <c r="H250" s="13">
        <v>734.0</v>
      </c>
      <c r="I250" s="13">
        <v>9542.0</v>
      </c>
      <c r="J250" s="4">
        <v>5.0</v>
      </c>
      <c r="K250" s="13">
        <v>477.0</v>
      </c>
      <c r="L250" s="13">
        <v>9065.0</v>
      </c>
      <c r="M250" s="4" t="s">
        <v>42</v>
      </c>
      <c r="N250" s="4" t="s">
        <v>62</v>
      </c>
      <c r="O250" s="4" t="s">
        <v>44</v>
      </c>
      <c r="P250" s="7"/>
      <c r="Q250" s="7"/>
      <c r="R250" s="7"/>
      <c r="S250" s="7"/>
      <c r="T250" s="7"/>
      <c r="U250" s="7"/>
      <c r="V250" s="7"/>
    </row>
    <row r="251" ht="14.25" customHeight="1">
      <c r="A251" s="4">
        <v>20339.0</v>
      </c>
      <c r="B251" s="11">
        <v>45883.0</v>
      </c>
      <c r="C251" s="4" t="s">
        <v>93</v>
      </c>
      <c r="D251" s="4" t="s">
        <v>25</v>
      </c>
      <c r="E251" s="4" t="s">
        <v>26</v>
      </c>
      <c r="F251" s="4" t="s">
        <v>74</v>
      </c>
      <c r="G251" s="4">
        <v>11.0</v>
      </c>
      <c r="H251" s="13">
        <v>441.0</v>
      </c>
      <c r="I251" s="13">
        <v>4851.0</v>
      </c>
      <c r="J251" s="4">
        <v>20.0</v>
      </c>
      <c r="K251" s="13">
        <v>970.0</v>
      </c>
      <c r="L251" s="13">
        <v>3881.0</v>
      </c>
      <c r="M251" s="4" t="s">
        <v>49</v>
      </c>
      <c r="N251" s="4" t="s">
        <v>56</v>
      </c>
      <c r="O251" s="4" t="s">
        <v>69</v>
      </c>
      <c r="P251" s="7"/>
      <c r="Q251" s="7"/>
      <c r="R251" s="7"/>
      <c r="S251" s="7"/>
      <c r="T251" s="7"/>
      <c r="U251" s="7"/>
      <c r="V251" s="7"/>
    </row>
    <row r="252" ht="14.25" customHeight="1">
      <c r="A252" s="4">
        <v>20098.0</v>
      </c>
      <c r="B252" s="11">
        <v>45885.0</v>
      </c>
      <c r="C252" s="4" t="s">
        <v>73</v>
      </c>
      <c r="D252" s="4" t="s">
        <v>52</v>
      </c>
      <c r="E252" s="4" t="s">
        <v>77</v>
      </c>
      <c r="F252" s="4" t="s">
        <v>101</v>
      </c>
      <c r="G252" s="4">
        <v>2.0</v>
      </c>
      <c r="H252" s="13">
        <v>5360.0</v>
      </c>
      <c r="I252" s="13">
        <v>10720.0</v>
      </c>
      <c r="J252" s="4">
        <v>5.0</v>
      </c>
      <c r="K252" s="13">
        <v>536.0</v>
      </c>
      <c r="L252" s="13">
        <v>10184.0</v>
      </c>
      <c r="M252" s="4" t="s">
        <v>96</v>
      </c>
      <c r="N252" s="4" t="s">
        <v>50</v>
      </c>
      <c r="O252" s="4" t="s">
        <v>69</v>
      </c>
      <c r="P252" s="7"/>
      <c r="Q252" s="7"/>
      <c r="R252" s="7"/>
      <c r="S252" s="7"/>
      <c r="T252" s="7"/>
      <c r="U252" s="7"/>
      <c r="V252" s="7"/>
    </row>
    <row r="253" ht="14.25" customHeight="1">
      <c r="A253" s="4">
        <v>20278.0</v>
      </c>
      <c r="B253" s="11">
        <v>45885.0</v>
      </c>
      <c r="C253" s="4" t="s">
        <v>76</v>
      </c>
      <c r="D253" s="4" t="s">
        <v>64</v>
      </c>
      <c r="E253" s="4" t="s">
        <v>26</v>
      </c>
      <c r="F253" s="4" t="s">
        <v>74</v>
      </c>
      <c r="G253" s="4">
        <v>2.0</v>
      </c>
      <c r="H253" s="13">
        <v>163.0</v>
      </c>
      <c r="I253" s="13">
        <v>326.0</v>
      </c>
      <c r="J253" s="4">
        <v>20.0</v>
      </c>
      <c r="K253" s="13">
        <v>65.0</v>
      </c>
      <c r="L253" s="13">
        <v>261.0</v>
      </c>
      <c r="M253" s="4" t="s">
        <v>61</v>
      </c>
      <c r="N253" s="4" t="s">
        <v>43</v>
      </c>
      <c r="O253" s="4" t="s">
        <v>69</v>
      </c>
      <c r="P253" s="7"/>
      <c r="Q253" s="7"/>
      <c r="R253" s="7"/>
      <c r="S253" s="7"/>
      <c r="T253" s="7"/>
      <c r="U253" s="7"/>
      <c r="V253" s="7"/>
    </row>
    <row r="254" ht="14.25" customHeight="1">
      <c r="A254" s="4">
        <v>20146.0</v>
      </c>
      <c r="B254" s="11">
        <v>45886.0</v>
      </c>
      <c r="C254" s="4" t="s">
        <v>24</v>
      </c>
      <c r="D254" s="4" t="s">
        <v>52</v>
      </c>
      <c r="E254" s="4" t="s">
        <v>77</v>
      </c>
      <c r="F254" s="4" t="s">
        <v>105</v>
      </c>
      <c r="G254" s="4">
        <v>8.0</v>
      </c>
      <c r="H254" s="13">
        <v>4562.0</v>
      </c>
      <c r="I254" s="13">
        <v>36496.0</v>
      </c>
      <c r="J254" s="4">
        <v>10.0</v>
      </c>
      <c r="K254" s="13">
        <v>3650.0</v>
      </c>
      <c r="L254" s="13">
        <v>32846.0</v>
      </c>
      <c r="M254" s="4" t="s">
        <v>61</v>
      </c>
      <c r="N254" s="4" t="s">
        <v>72</v>
      </c>
      <c r="O254" s="4" t="s">
        <v>57</v>
      </c>
      <c r="P254" s="7"/>
      <c r="Q254" s="7"/>
      <c r="R254" s="7"/>
      <c r="S254" s="7"/>
      <c r="T254" s="7"/>
      <c r="U254" s="7"/>
      <c r="V254" s="7"/>
    </row>
    <row r="255" ht="14.25" customHeight="1">
      <c r="A255" s="4">
        <v>20003.0</v>
      </c>
      <c r="B255" s="11">
        <v>45887.0</v>
      </c>
      <c r="C255" s="3" t="s">
        <v>89</v>
      </c>
      <c r="D255" s="4" t="s">
        <v>46</v>
      </c>
      <c r="E255" s="3" t="s">
        <v>53</v>
      </c>
      <c r="F255" s="4" t="s">
        <v>100</v>
      </c>
      <c r="G255" s="4">
        <v>12.0</v>
      </c>
      <c r="H255" s="13">
        <v>552.0</v>
      </c>
      <c r="I255" s="13">
        <v>6624.0</v>
      </c>
      <c r="J255" s="4">
        <v>20.0</v>
      </c>
      <c r="K255" s="13">
        <v>1325.0</v>
      </c>
      <c r="L255" s="13">
        <v>5299.0</v>
      </c>
      <c r="M255" s="4" t="s">
        <v>55</v>
      </c>
      <c r="N255" s="4" t="s">
        <v>62</v>
      </c>
      <c r="O255" s="4" t="s">
        <v>69</v>
      </c>
      <c r="P255" s="7"/>
      <c r="Q255" s="7"/>
      <c r="R255" s="7"/>
      <c r="S255" s="7"/>
      <c r="T255" s="7"/>
      <c r="U255" s="7"/>
      <c r="V255" s="7"/>
    </row>
    <row r="256" ht="14.25" customHeight="1">
      <c r="A256" s="4">
        <v>20225.0</v>
      </c>
      <c r="B256" s="11">
        <v>45887.0</v>
      </c>
      <c r="C256" s="4" t="s">
        <v>82</v>
      </c>
      <c r="D256" s="4" t="s">
        <v>52</v>
      </c>
      <c r="E256" s="4" t="s">
        <v>47</v>
      </c>
      <c r="F256" s="4" t="s">
        <v>27</v>
      </c>
      <c r="G256" s="4">
        <v>9.0</v>
      </c>
      <c r="H256" s="13">
        <v>2425.0</v>
      </c>
      <c r="I256" s="13">
        <v>21825.0</v>
      </c>
      <c r="J256" s="4">
        <v>0.0</v>
      </c>
      <c r="K256" s="13">
        <v>0.0</v>
      </c>
      <c r="L256" s="13">
        <v>21825.0</v>
      </c>
      <c r="M256" s="4" t="s">
        <v>55</v>
      </c>
      <c r="N256" s="4" t="s">
        <v>56</v>
      </c>
      <c r="O256" s="4" t="s">
        <v>57</v>
      </c>
      <c r="P256" s="7"/>
      <c r="Q256" s="7"/>
      <c r="R256" s="7"/>
      <c r="S256" s="7"/>
      <c r="T256" s="7"/>
      <c r="U256" s="7"/>
      <c r="V256" s="7"/>
    </row>
    <row r="257" ht="14.25" customHeight="1">
      <c r="A257" s="4">
        <v>20069.0</v>
      </c>
      <c r="B257" s="11">
        <v>45888.0</v>
      </c>
      <c r="C257" s="4" t="s">
        <v>82</v>
      </c>
      <c r="D257" s="4" t="s">
        <v>52</v>
      </c>
      <c r="E257" s="4" t="s">
        <v>53</v>
      </c>
      <c r="F257" s="4" t="s">
        <v>102</v>
      </c>
      <c r="G257" s="4">
        <v>4.0</v>
      </c>
      <c r="H257" s="13">
        <v>878.0</v>
      </c>
      <c r="I257" s="13">
        <v>3512.0</v>
      </c>
      <c r="J257" s="4">
        <v>0.0</v>
      </c>
      <c r="K257" s="13">
        <v>0.0</v>
      </c>
      <c r="L257" s="13">
        <v>3512.0</v>
      </c>
      <c r="M257" s="4" t="s">
        <v>106</v>
      </c>
      <c r="N257" s="4" t="s">
        <v>72</v>
      </c>
      <c r="O257" s="4" t="s">
        <v>57</v>
      </c>
      <c r="P257" s="7"/>
      <c r="Q257" s="7"/>
      <c r="R257" s="7"/>
      <c r="S257" s="7"/>
      <c r="T257" s="7"/>
      <c r="U257" s="7"/>
      <c r="V257" s="7"/>
    </row>
    <row r="258" ht="14.25" customHeight="1">
      <c r="A258" s="4">
        <v>20232.0</v>
      </c>
      <c r="B258" s="11">
        <v>45888.0</v>
      </c>
      <c r="C258" s="4" t="s">
        <v>24</v>
      </c>
      <c r="D258" s="4" t="s">
        <v>52</v>
      </c>
      <c r="E258" s="4" t="s">
        <v>59</v>
      </c>
      <c r="F258" s="4" t="s">
        <v>79</v>
      </c>
      <c r="G258" s="4">
        <v>12.0</v>
      </c>
      <c r="H258" s="13">
        <v>445.0</v>
      </c>
      <c r="I258" s="13">
        <v>5340.0</v>
      </c>
      <c r="J258" s="4">
        <v>10.0</v>
      </c>
      <c r="K258" s="13">
        <v>534.0</v>
      </c>
      <c r="L258" s="13">
        <v>4806.0</v>
      </c>
      <c r="M258" s="4" t="s">
        <v>71</v>
      </c>
      <c r="N258" s="4" t="s">
        <v>56</v>
      </c>
      <c r="O258" s="4" t="s">
        <v>69</v>
      </c>
      <c r="P258" s="7"/>
      <c r="Q258" s="7"/>
      <c r="R258" s="7"/>
      <c r="S258" s="7"/>
      <c r="T258" s="7"/>
      <c r="U258" s="7"/>
      <c r="V258" s="7"/>
    </row>
    <row r="259" ht="14.25" customHeight="1">
      <c r="A259" s="4">
        <v>20151.0</v>
      </c>
      <c r="B259" s="11">
        <v>45889.0</v>
      </c>
      <c r="C259" s="4" t="s">
        <v>80</v>
      </c>
      <c r="D259" s="4" t="s">
        <v>64</v>
      </c>
      <c r="E259" s="4" t="s">
        <v>59</v>
      </c>
      <c r="F259" s="4" t="s">
        <v>79</v>
      </c>
      <c r="G259" s="4">
        <v>13.0</v>
      </c>
      <c r="H259" s="13">
        <v>423.0</v>
      </c>
      <c r="I259" s="13">
        <v>5499.0</v>
      </c>
      <c r="J259" s="4">
        <v>10.0</v>
      </c>
      <c r="K259" s="13">
        <v>550.0</v>
      </c>
      <c r="L259" s="13">
        <v>4949.0</v>
      </c>
      <c r="M259" s="4" t="s">
        <v>87</v>
      </c>
      <c r="N259" s="4" t="s">
        <v>72</v>
      </c>
      <c r="O259" s="4" t="s">
        <v>44</v>
      </c>
      <c r="P259" s="7"/>
      <c r="Q259" s="7"/>
      <c r="R259" s="7"/>
      <c r="S259" s="7"/>
      <c r="T259" s="7"/>
      <c r="U259" s="7"/>
      <c r="V259" s="7"/>
    </row>
    <row r="260" ht="14.25" customHeight="1">
      <c r="A260" s="4">
        <v>20350.0</v>
      </c>
      <c r="B260" s="11">
        <v>45889.0</v>
      </c>
      <c r="C260" s="4" t="s">
        <v>76</v>
      </c>
      <c r="D260" s="4" t="s">
        <v>64</v>
      </c>
      <c r="E260" s="4" t="s">
        <v>77</v>
      </c>
      <c r="F260" s="4" t="s">
        <v>110</v>
      </c>
      <c r="G260" s="4">
        <v>10.0</v>
      </c>
      <c r="H260" s="13">
        <v>3348.0</v>
      </c>
      <c r="I260" s="13">
        <v>33480.0</v>
      </c>
      <c r="J260" s="4">
        <v>15.0</v>
      </c>
      <c r="K260" s="13">
        <v>5022.0</v>
      </c>
      <c r="L260" s="13">
        <v>28458.0</v>
      </c>
      <c r="M260" s="4" t="s">
        <v>87</v>
      </c>
      <c r="N260" s="4" t="s">
        <v>50</v>
      </c>
      <c r="O260" s="4" t="s">
        <v>69</v>
      </c>
      <c r="P260" s="7"/>
      <c r="Q260" s="7"/>
      <c r="R260" s="7"/>
      <c r="S260" s="7"/>
      <c r="T260" s="7"/>
      <c r="U260" s="7"/>
      <c r="V260" s="7"/>
    </row>
    <row r="261" ht="14.25" customHeight="1">
      <c r="A261" s="4">
        <v>20099.0</v>
      </c>
      <c r="B261" s="11">
        <v>45890.0</v>
      </c>
      <c r="C261" s="4" t="s">
        <v>92</v>
      </c>
      <c r="D261" s="4" t="s">
        <v>25</v>
      </c>
      <c r="E261" s="4" t="s">
        <v>77</v>
      </c>
      <c r="F261" s="4" t="s">
        <v>105</v>
      </c>
      <c r="G261" s="4">
        <v>11.0</v>
      </c>
      <c r="H261" s="13">
        <v>1314.0</v>
      </c>
      <c r="I261" s="13">
        <v>14454.0</v>
      </c>
      <c r="J261" s="4">
        <v>20.0</v>
      </c>
      <c r="K261" s="13">
        <v>2891.0</v>
      </c>
      <c r="L261" s="13">
        <v>11563.0</v>
      </c>
      <c r="M261" s="4" t="s">
        <v>49</v>
      </c>
      <c r="N261" s="4" t="s">
        <v>50</v>
      </c>
      <c r="O261" s="4" t="s">
        <v>69</v>
      </c>
      <c r="P261" s="7"/>
      <c r="Q261" s="7"/>
      <c r="R261" s="7"/>
      <c r="S261" s="7"/>
      <c r="T261" s="7"/>
      <c r="U261" s="7"/>
      <c r="V261" s="7"/>
    </row>
    <row r="262" ht="14.25" customHeight="1">
      <c r="A262" s="4">
        <v>20185.0</v>
      </c>
      <c r="B262" s="11">
        <v>45890.0</v>
      </c>
      <c r="C262" s="4" t="s">
        <v>45</v>
      </c>
      <c r="D262" s="4" t="s">
        <v>46</v>
      </c>
      <c r="E262" s="4" t="s">
        <v>59</v>
      </c>
      <c r="F262" s="4" t="s">
        <v>83</v>
      </c>
      <c r="G262" s="4">
        <v>15.0</v>
      </c>
      <c r="H262" s="13">
        <v>400.0</v>
      </c>
      <c r="I262" s="13">
        <v>6000.0</v>
      </c>
      <c r="J262" s="4">
        <v>20.0</v>
      </c>
      <c r="K262" s="13">
        <v>1200.0</v>
      </c>
      <c r="L262" s="13">
        <v>4800.0</v>
      </c>
      <c r="M262" s="4" t="s">
        <v>106</v>
      </c>
      <c r="N262" s="4" t="s">
        <v>56</v>
      </c>
      <c r="O262" s="4" t="s">
        <v>69</v>
      </c>
      <c r="P262" s="7"/>
      <c r="Q262" s="7"/>
      <c r="R262" s="7"/>
      <c r="S262" s="7"/>
      <c r="T262" s="7"/>
      <c r="U262" s="7"/>
      <c r="V262" s="7"/>
    </row>
    <row r="263" ht="14.25" customHeight="1">
      <c r="A263" s="4">
        <v>20188.0</v>
      </c>
      <c r="B263" s="11">
        <v>45891.0</v>
      </c>
      <c r="C263" s="4" t="s">
        <v>93</v>
      </c>
      <c r="D263" s="4" t="s">
        <v>25</v>
      </c>
      <c r="E263" s="4" t="s">
        <v>47</v>
      </c>
      <c r="F263" s="4" t="s">
        <v>27</v>
      </c>
      <c r="G263" s="4">
        <v>11.0</v>
      </c>
      <c r="H263" s="13">
        <v>1241.0</v>
      </c>
      <c r="I263" s="13">
        <v>13651.0</v>
      </c>
      <c r="J263" s="4">
        <v>20.0</v>
      </c>
      <c r="K263" s="13">
        <v>2730.0</v>
      </c>
      <c r="L263" s="13">
        <v>10921.0</v>
      </c>
      <c r="M263" s="4" t="s">
        <v>81</v>
      </c>
      <c r="N263" s="4" t="s">
        <v>50</v>
      </c>
      <c r="O263" s="4" t="s">
        <v>57</v>
      </c>
      <c r="P263" s="7"/>
      <c r="Q263" s="7"/>
      <c r="R263" s="7"/>
      <c r="S263" s="7"/>
      <c r="T263" s="7"/>
      <c r="U263" s="7"/>
      <c r="V263" s="7"/>
    </row>
    <row r="264" ht="14.25" customHeight="1">
      <c r="A264" s="4">
        <v>20009.0</v>
      </c>
      <c r="B264" s="11">
        <v>45892.0</v>
      </c>
      <c r="C264" s="4" t="s">
        <v>76</v>
      </c>
      <c r="D264" s="4" t="s">
        <v>64</v>
      </c>
      <c r="E264" s="4" t="s">
        <v>53</v>
      </c>
      <c r="F264" s="4" t="s">
        <v>75</v>
      </c>
      <c r="G264" s="4">
        <v>4.0</v>
      </c>
      <c r="H264" s="13">
        <v>1496.0</v>
      </c>
      <c r="I264" s="13">
        <v>5984.0</v>
      </c>
      <c r="J264" s="4">
        <v>0.0</v>
      </c>
      <c r="K264" s="13">
        <v>0.0</v>
      </c>
      <c r="L264" s="13">
        <v>5984.0</v>
      </c>
      <c r="M264" s="4" t="s">
        <v>106</v>
      </c>
      <c r="N264" s="4" t="s">
        <v>50</v>
      </c>
      <c r="O264" s="4" t="s">
        <v>57</v>
      </c>
      <c r="P264" s="7"/>
      <c r="Q264" s="7"/>
      <c r="R264" s="7"/>
      <c r="S264" s="7"/>
      <c r="T264" s="7"/>
      <c r="U264" s="7"/>
      <c r="V264" s="7"/>
    </row>
    <row r="265" ht="14.25" customHeight="1">
      <c r="A265" s="4">
        <v>20348.0</v>
      </c>
      <c r="B265" s="11">
        <v>45892.0</v>
      </c>
      <c r="C265" s="4" t="s">
        <v>76</v>
      </c>
      <c r="D265" s="4" t="s">
        <v>64</v>
      </c>
      <c r="E265" s="4" t="s">
        <v>59</v>
      </c>
      <c r="F265" s="4" t="s">
        <v>79</v>
      </c>
      <c r="G265" s="4">
        <v>9.0</v>
      </c>
      <c r="H265" s="13">
        <v>359.0</v>
      </c>
      <c r="I265" s="13">
        <v>3231.0</v>
      </c>
      <c r="J265" s="4">
        <v>10.0</v>
      </c>
      <c r="K265" s="13">
        <v>323.0</v>
      </c>
      <c r="L265" s="13">
        <v>2908.0</v>
      </c>
      <c r="M265" s="4" t="s">
        <v>68</v>
      </c>
      <c r="N265" s="4" t="s">
        <v>56</v>
      </c>
      <c r="O265" s="4" t="s">
        <v>69</v>
      </c>
      <c r="P265" s="7"/>
      <c r="Q265" s="7"/>
      <c r="R265" s="7"/>
      <c r="S265" s="7"/>
      <c r="T265" s="7"/>
      <c r="U265" s="7"/>
      <c r="V265" s="7"/>
    </row>
    <row r="266" ht="14.25" customHeight="1">
      <c r="A266" s="4">
        <v>20124.0</v>
      </c>
      <c r="B266" s="11">
        <v>45894.0</v>
      </c>
      <c r="C266" s="4" t="s">
        <v>93</v>
      </c>
      <c r="D266" s="4" t="s">
        <v>25</v>
      </c>
      <c r="E266" s="4" t="s">
        <v>59</v>
      </c>
      <c r="F266" s="4" t="s">
        <v>83</v>
      </c>
      <c r="G266" s="4">
        <v>11.0</v>
      </c>
      <c r="H266" s="13">
        <v>303.0</v>
      </c>
      <c r="I266" s="13">
        <v>3333.0</v>
      </c>
      <c r="J266" s="4">
        <v>0.0</v>
      </c>
      <c r="K266" s="13">
        <v>0.0</v>
      </c>
      <c r="L266" s="13">
        <v>3333.0</v>
      </c>
      <c r="M266" s="4" t="s">
        <v>81</v>
      </c>
      <c r="N266" s="4" t="s">
        <v>43</v>
      </c>
      <c r="O266" s="4" t="s">
        <v>69</v>
      </c>
      <c r="P266" s="7"/>
      <c r="Q266" s="7"/>
      <c r="R266" s="7"/>
      <c r="S266" s="7"/>
      <c r="T266" s="7"/>
      <c r="U266" s="7"/>
      <c r="V266" s="7"/>
    </row>
    <row r="267" ht="14.25" customHeight="1">
      <c r="A267" s="4">
        <v>20417.0</v>
      </c>
      <c r="B267" s="11">
        <v>45895.0</v>
      </c>
      <c r="C267" s="4" t="s">
        <v>76</v>
      </c>
      <c r="D267" s="4" t="s">
        <v>64</v>
      </c>
      <c r="E267" s="4" t="s">
        <v>77</v>
      </c>
      <c r="F267" s="4" t="s">
        <v>105</v>
      </c>
      <c r="G267" s="4">
        <v>13.0</v>
      </c>
      <c r="H267" s="13">
        <v>4355.0</v>
      </c>
      <c r="I267" s="13">
        <v>56615.0</v>
      </c>
      <c r="J267" s="4">
        <v>20.0</v>
      </c>
      <c r="K267" s="13">
        <v>11323.0</v>
      </c>
      <c r="L267" s="13">
        <v>45292.0</v>
      </c>
      <c r="M267" s="4" t="s">
        <v>71</v>
      </c>
      <c r="N267" s="4" t="s">
        <v>62</v>
      </c>
      <c r="O267" s="4" t="s">
        <v>69</v>
      </c>
      <c r="P267" s="7"/>
      <c r="Q267" s="7"/>
      <c r="R267" s="7"/>
      <c r="S267" s="7"/>
      <c r="T267" s="7"/>
      <c r="U267" s="7"/>
      <c r="V267" s="7"/>
    </row>
    <row r="268" ht="14.25" customHeight="1">
      <c r="A268" s="4">
        <v>20358.0</v>
      </c>
      <c r="B268" s="11">
        <v>45896.0</v>
      </c>
      <c r="C268" s="4" t="s">
        <v>76</v>
      </c>
      <c r="D268" s="4" t="s">
        <v>64</v>
      </c>
      <c r="E268" s="4" t="s">
        <v>26</v>
      </c>
      <c r="F268" s="4" t="s">
        <v>100</v>
      </c>
      <c r="G268" s="4">
        <v>15.0</v>
      </c>
      <c r="H268" s="13">
        <v>450.0</v>
      </c>
      <c r="I268" s="13">
        <v>6750.0</v>
      </c>
      <c r="J268" s="4">
        <v>5.0</v>
      </c>
      <c r="K268" s="13">
        <v>338.0</v>
      </c>
      <c r="L268" s="13">
        <v>6412.0</v>
      </c>
      <c r="M268" s="4" t="s">
        <v>49</v>
      </c>
      <c r="N268" s="4" t="s">
        <v>56</v>
      </c>
      <c r="O268" s="4" t="s">
        <v>44</v>
      </c>
      <c r="P268" s="7"/>
      <c r="Q268" s="7"/>
      <c r="R268" s="7"/>
      <c r="S268" s="7"/>
      <c r="T268" s="7"/>
      <c r="U268" s="7"/>
      <c r="V268" s="7"/>
    </row>
    <row r="269" ht="14.25" customHeight="1">
      <c r="A269" s="4">
        <v>20052.0</v>
      </c>
      <c r="B269" s="11">
        <v>45898.0</v>
      </c>
      <c r="C269" s="4" t="s">
        <v>97</v>
      </c>
      <c r="D269" s="4" t="s">
        <v>25</v>
      </c>
      <c r="E269" s="4" t="s">
        <v>47</v>
      </c>
      <c r="F269" s="4" t="s">
        <v>91</v>
      </c>
      <c r="G269" s="4">
        <v>6.0</v>
      </c>
      <c r="H269" s="13">
        <v>363.0</v>
      </c>
      <c r="I269" s="13">
        <v>2178.0</v>
      </c>
      <c r="J269" s="4">
        <v>20.0</v>
      </c>
      <c r="K269" s="13">
        <v>436.0</v>
      </c>
      <c r="L269" s="13">
        <v>1742.0</v>
      </c>
      <c r="M269" s="4" t="s">
        <v>81</v>
      </c>
      <c r="N269" s="4" t="s">
        <v>50</v>
      </c>
      <c r="O269" s="4" t="s">
        <v>69</v>
      </c>
      <c r="P269" s="7"/>
      <c r="Q269" s="7"/>
      <c r="R269" s="7"/>
      <c r="S269" s="7"/>
      <c r="T269" s="7"/>
      <c r="U269" s="7"/>
      <c r="V269" s="7"/>
    </row>
    <row r="270" ht="14.25" customHeight="1">
      <c r="A270" s="4">
        <v>20065.0</v>
      </c>
      <c r="B270" s="11">
        <v>45898.0</v>
      </c>
      <c r="C270" s="4" t="s">
        <v>82</v>
      </c>
      <c r="D270" s="4" t="s">
        <v>52</v>
      </c>
      <c r="E270" s="4" t="s">
        <v>59</v>
      </c>
      <c r="F270" s="4" t="s">
        <v>85</v>
      </c>
      <c r="G270" s="4">
        <v>3.0</v>
      </c>
      <c r="H270" s="13">
        <v>118.0</v>
      </c>
      <c r="I270" s="13">
        <v>354.0</v>
      </c>
      <c r="J270" s="4">
        <v>5.0</v>
      </c>
      <c r="K270" s="13">
        <v>18.0</v>
      </c>
      <c r="L270" s="13">
        <v>336.0</v>
      </c>
      <c r="M270" s="4" t="s">
        <v>42</v>
      </c>
      <c r="N270" s="4" t="s">
        <v>62</v>
      </c>
      <c r="O270" s="4" t="s">
        <v>57</v>
      </c>
      <c r="P270" s="7"/>
      <c r="Q270" s="7"/>
      <c r="R270" s="7"/>
      <c r="S270" s="7"/>
      <c r="T270" s="7"/>
      <c r="U270" s="7"/>
      <c r="V270" s="7"/>
    </row>
    <row r="271" ht="14.25" customHeight="1">
      <c r="A271" s="4">
        <v>20321.0</v>
      </c>
      <c r="B271" s="11">
        <v>45898.0</v>
      </c>
      <c r="C271" s="4" t="s">
        <v>93</v>
      </c>
      <c r="D271" s="4" t="s">
        <v>25</v>
      </c>
      <c r="E271" s="4" t="s">
        <v>47</v>
      </c>
      <c r="F271" s="4" t="s">
        <v>103</v>
      </c>
      <c r="G271" s="4">
        <v>10.0</v>
      </c>
      <c r="H271" s="13">
        <v>689.0</v>
      </c>
      <c r="I271" s="13">
        <v>6890.0</v>
      </c>
      <c r="J271" s="4">
        <v>20.0</v>
      </c>
      <c r="K271" s="13">
        <v>1378.0</v>
      </c>
      <c r="L271" s="13">
        <v>5512.0</v>
      </c>
      <c r="M271" s="4" t="s">
        <v>61</v>
      </c>
      <c r="N271" s="4" t="s">
        <v>56</v>
      </c>
      <c r="O271" s="4" t="s">
        <v>44</v>
      </c>
      <c r="P271" s="7"/>
      <c r="Q271" s="7"/>
      <c r="R271" s="7"/>
      <c r="S271" s="7"/>
      <c r="T271" s="7"/>
      <c r="U271" s="7"/>
      <c r="V271" s="7"/>
    </row>
    <row r="272" ht="14.25" customHeight="1">
      <c r="A272" s="4">
        <v>20079.0</v>
      </c>
      <c r="B272" s="11">
        <v>45899.0</v>
      </c>
      <c r="C272" s="4" t="s">
        <v>63</v>
      </c>
      <c r="D272" s="4" t="s">
        <v>64</v>
      </c>
      <c r="E272" s="4" t="s">
        <v>59</v>
      </c>
      <c r="F272" s="4" t="s">
        <v>83</v>
      </c>
      <c r="G272" s="4">
        <v>3.0</v>
      </c>
      <c r="H272" s="13">
        <v>320.0</v>
      </c>
      <c r="I272" s="13">
        <v>960.0</v>
      </c>
      <c r="J272" s="4">
        <v>20.0</v>
      </c>
      <c r="K272" s="13">
        <v>192.0</v>
      </c>
      <c r="L272" s="13">
        <v>768.0</v>
      </c>
      <c r="M272" s="4" t="s">
        <v>71</v>
      </c>
      <c r="N272" s="4" t="s">
        <v>72</v>
      </c>
      <c r="O272" s="4" t="s">
        <v>44</v>
      </c>
      <c r="P272" s="7"/>
      <c r="Q272" s="7"/>
      <c r="R272" s="7"/>
      <c r="S272" s="7"/>
      <c r="T272" s="7"/>
      <c r="U272" s="7"/>
      <c r="V272" s="7"/>
    </row>
    <row r="273" ht="14.25" customHeight="1">
      <c r="A273" s="4">
        <v>20265.0</v>
      </c>
      <c r="B273" s="11">
        <v>45899.0</v>
      </c>
      <c r="C273" s="4" t="s">
        <v>45</v>
      </c>
      <c r="D273" s="4" t="s">
        <v>46</v>
      </c>
      <c r="E273" s="4" t="s">
        <v>59</v>
      </c>
      <c r="F273" s="4" t="s">
        <v>60</v>
      </c>
      <c r="G273" s="4">
        <v>3.0</v>
      </c>
      <c r="H273" s="13">
        <v>439.0</v>
      </c>
      <c r="I273" s="13">
        <v>1317.0</v>
      </c>
      <c r="J273" s="4">
        <v>0.0</v>
      </c>
      <c r="K273" s="13">
        <v>0.0</v>
      </c>
      <c r="L273" s="13">
        <v>1317.0</v>
      </c>
      <c r="M273" s="4" t="s">
        <v>55</v>
      </c>
      <c r="N273" s="4" t="s">
        <v>50</v>
      </c>
      <c r="O273" s="4" t="s">
        <v>44</v>
      </c>
      <c r="P273" s="7"/>
      <c r="Q273" s="7"/>
      <c r="R273" s="7"/>
      <c r="S273" s="7"/>
      <c r="T273" s="7"/>
      <c r="U273" s="7"/>
      <c r="V273" s="7"/>
    </row>
    <row r="274" ht="14.25" customHeight="1">
      <c r="A274" s="4">
        <v>20015.0</v>
      </c>
      <c r="B274" s="11">
        <v>45901.0</v>
      </c>
      <c r="C274" s="4" t="s">
        <v>80</v>
      </c>
      <c r="D274" s="4" t="s">
        <v>64</v>
      </c>
      <c r="E274" s="4" t="s">
        <v>53</v>
      </c>
      <c r="F274" s="4" t="s">
        <v>54</v>
      </c>
      <c r="G274" s="4">
        <v>14.0</v>
      </c>
      <c r="H274" s="13">
        <v>1403.0</v>
      </c>
      <c r="I274" s="13">
        <v>19642.0</v>
      </c>
      <c r="J274" s="4">
        <v>15.0</v>
      </c>
      <c r="K274" s="13">
        <v>2946.0</v>
      </c>
      <c r="L274" s="13">
        <v>16696.0</v>
      </c>
      <c r="M274" s="4" t="s">
        <v>96</v>
      </c>
      <c r="N274" s="4" t="s">
        <v>43</v>
      </c>
      <c r="O274" s="4" t="s">
        <v>57</v>
      </c>
      <c r="P274" s="7"/>
      <c r="Q274" s="7"/>
      <c r="R274" s="7"/>
      <c r="S274" s="7"/>
      <c r="T274" s="7"/>
      <c r="U274" s="7"/>
      <c r="V274" s="7"/>
    </row>
    <row r="275" ht="14.25" customHeight="1">
      <c r="A275" s="4">
        <v>20169.0</v>
      </c>
      <c r="B275" s="11">
        <v>45901.0</v>
      </c>
      <c r="C275" s="4" t="s">
        <v>97</v>
      </c>
      <c r="D275" s="4" t="s">
        <v>25</v>
      </c>
      <c r="E275" s="4" t="s">
        <v>53</v>
      </c>
      <c r="F275" s="4" t="s">
        <v>95</v>
      </c>
      <c r="G275" s="4">
        <v>11.0</v>
      </c>
      <c r="H275" s="13">
        <v>1494.0</v>
      </c>
      <c r="I275" s="13">
        <v>16434.0</v>
      </c>
      <c r="J275" s="4">
        <v>10.0</v>
      </c>
      <c r="K275" s="13">
        <v>1643.0</v>
      </c>
      <c r="L275" s="13">
        <v>14791.0</v>
      </c>
      <c r="M275" s="4" t="s">
        <v>42</v>
      </c>
      <c r="N275" s="4" t="s">
        <v>72</v>
      </c>
      <c r="O275" s="4" t="s">
        <v>57</v>
      </c>
      <c r="P275" s="7"/>
      <c r="Q275" s="7"/>
      <c r="R275" s="7"/>
      <c r="S275" s="7"/>
      <c r="T275" s="7"/>
      <c r="U275" s="7"/>
      <c r="V275" s="7"/>
    </row>
    <row r="276" ht="14.25" customHeight="1">
      <c r="A276" s="4">
        <v>20301.0</v>
      </c>
      <c r="B276" s="11">
        <v>45901.0</v>
      </c>
      <c r="C276" s="4" t="s">
        <v>89</v>
      </c>
      <c r="D276" s="4" t="s">
        <v>46</v>
      </c>
      <c r="E276" s="4" t="s">
        <v>26</v>
      </c>
      <c r="F276" s="4" t="s">
        <v>111</v>
      </c>
      <c r="G276" s="4">
        <v>15.0</v>
      </c>
      <c r="H276" s="13">
        <v>155.0</v>
      </c>
      <c r="I276" s="13">
        <v>2325.0</v>
      </c>
      <c r="J276" s="4">
        <v>0.0</v>
      </c>
      <c r="K276" s="13">
        <v>0.0</v>
      </c>
      <c r="L276" s="13">
        <v>2325.0</v>
      </c>
      <c r="M276" s="4" t="s">
        <v>42</v>
      </c>
      <c r="N276" s="4" t="s">
        <v>50</v>
      </c>
      <c r="O276" s="4" t="s">
        <v>69</v>
      </c>
      <c r="P276" s="7"/>
      <c r="Q276" s="7"/>
      <c r="R276" s="7"/>
      <c r="S276" s="7"/>
      <c r="T276" s="7"/>
      <c r="U276" s="7"/>
      <c r="V276" s="7"/>
    </row>
    <row r="277" ht="14.25" customHeight="1">
      <c r="A277" s="4">
        <v>20352.0</v>
      </c>
      <c r="B277" s="11">
        <v>45903.0</v>
      </c>
      <c r="C277" s="4" t="s">
        <v>24</v>
      </c>
      <c r="D277" s="4" t="s">
        <v>52</v>
      </c>
      <c r="E277" s="4" t="s">
        <v>47</v>
      </c>
      <c r="F277" s="4" t="s">
        <v>67</v>
      </c>
      <c r="G277" s="4">
        <v>15.0</v>
      </c>
      <c r="H277" s="13">
        <v>635.0</v>
      </c>
      <c r="I277" s="13">
        <v>9525.0</v>
      </c>
      <c r="J277" s="4">
        <v>0.0</v>
      </c>
      <c r="K277" s="13">
        <v>0.0</v>
      </c>
      <c r="L277" s="13">
        <v>9525.0</v>
      </c>
      <c r="M277" s="4" t="s">
        <v>61</v>
      </c>
      <c r="N277" s="4" t="s">
        <v>50</v>
      </c>
      <c r="O277" s="4" t="s">
        <v>69</v>
      </c>
      <c r="P277" s="7"/>
      <c r="Q277" s="7"/>
      <c r="R277" s="7"/>
      <c r="S277" s="7"/>
      <c r="T277" s="7"/>
      <c r="U277" s="7"/>
      <c r="V277" s="7"/>
    </row>
    <row r="278" ht="14.25" customHeight="1">
      <c r="A278" s="4">
        <v>20384.0</v>
      </c>
      <c r="B278" s="11">
        <v>45903.0</v>
      </c>
      <c r="C278" s="4" t="s">
        <v>82</v>
      </c>
      <c r="D278" s="4" t="s">
        <v>52</v>
      </c>
      <c r="E278" s="4" t="s">
        <v>77</v>
      </c>
      <c r="F278" s="4" t="s">
        <v>88</v>
      </c>
      <c r="G278" s="4">
        <v>3.0</v>
      </c>
      <c r="H278" s="13">
        <v>1083.0</v>
      </c>
      <c r="I278" s="13">
        <v>3249.0</v>
      </c>
      <c r="J278" s="4">
        <v>10.0</v>
      </c>
      <c r="K278" s="13">
        <v>325.0</v>
      </c>
      <c r="L278" s="13">
        <v>2924.0</v>
      </c>
      <c r="M278" s="4" t="s">
        <v>49</v>
      </c>
      <c r="N278" s="4" t="s">
        <v>50</v>
      </c>
      <c r="O278" s="4" t="s">
        <v>69</v>
      </c>
      <c r="P278" s="7"/>
      <c r="Q278" s="7"/>
      <c r="R278" s="7"/>
      <c r="S278" s="7"/>
      <c r="T278" s="7"/>
      <c r="U278" s="7"/>
      <c r="V278" s="7"/>
    </row>
    <row r="279" ht="14.25" customHeight="1">
      <c r="A279" s="4">
        <v>20081.0</v>
      </c>
      <c r="B279" s="11">
        <v>45905.0</v>
      </c>
      <c r="C279" s="4" t="s">
        <v>45</v>
      </c>
      <c r="D279" s="4" t="s">
        <v>46</v>
      </c>
      <c r="E279" s="4" t="s">
        <v>53</v>
      </c>
      <c r="F279" s="4" t="s">
        <v>54</v>
      </c>
      <c r="G279" s="4">
        <v>13.0</v>
      </c>
      <c r="H279" s="13">
        <v>958.0</v>
      </c>
      <c r="I279" s="13">
        <v>12454.0</v>
      </c>
      <c r="J279" s="4">
        <v>10.0</v>
      </c>
      <c r="K279" s="13">
        <v>1245.0</v>
      </c>
      <c r="L279" s="13">
        <v>11209.0</v>
      </c>
      <c r="M279" s="4" t="s">
        <v>61</v>
      </c>
      <c r="N279" s="4" t="s">
        <v>50</v>
      </c>
      <c r="O279" s="4" t="s">
        <v>44</v>
      </c>
      <c r="P279" s="7"/>
      <c r="Q279" s="7"/>
      <c r="R279" s="7"/>
      <c r="S279" s="7"/>
      <c r="T279" s="7"/>
      <c r="U279" s="7"/>
      <c r="V279" s="7"/>
    </row>
    <row r="280" ht="14.25" customHeight="1">
      <c r="A280" s="4">
        <v>20379.0</v>
      </c>
      <c r="B280" s="11">
        <v>45905.0</v>
      </c>
      <c r="C280" s="4" t="s">
        <v>45</v>
      </c>
      <c r="D280" s="4" t="s">
        <v>46</v>
      </c>
      <c r="E280" s="4" t="s">
        <v>26</v>
      </c>
      <c r="F280" s="4" t="s">
        <v>100</v>
      </c>
      <c r="G280" s="4">
        <v>13.0</v>
      </c>
      <c r="H280" s="13">
        <v>619.0</v>
      </c>
      <c r="I280" s="13">
        <v>8047.0</v>
      </c>
      <c r="J280" s="4">
        <v>0.0</v>
      </c>
      <c r="K280" s="13">
        <v>0.0</v>
      </c>
      <c r="L280" s="13">
        <v>8047.0</v>
      </c>
      <c r="M280" s="4" t="s">
        <v>81</v>
      </c>
      <c r="N280" s="4" t="s">
        <v>50</v>
      </c>
      <c r="O280" s="4" t="s">
        <v>57</v>
      </c>
      <c r="P280" s="7"/>
      <c r="Q280" s="7"/>
      <c r="R280" s="7"/>
      <c r="S280" s="7"/>
      <c r="T280" s="7"/>
      <c r="U280" s="7"/>
      <c r="V280" s="7"/>
    </row>
    <row r="281" ht="14.25" customHeight="1">
      <c r="A281" s="4">
        <v>20382.0</v>
      </c>
      <c r="B281" s="11">
        <v>45907.0</v>
      </c>
      <c r="C281" s="4" t="s">
        <v>82</v>
      </c>
      <c r="D281" s="4" t="s">
        <v>52</v>
      </c>
      <c r="E281" s="4" t="s">
        <v>47</v>
      </c>
      <c r="F281" s="4" t="s">
        <v>91</v>
      </c>
      <c r="G281" s="4">
        <v>9.0</v>
      </c>
      <c r="H281" s="13">
        <v>514.0</v>
      </c>
      <c r="I281" s="13">
        <v>4626.0</v>
      </c>
      <c r="J281" s="4">
        <v>10.0</v>
      </c>
      <c r="K281" s="13">
        <v>463.0</v>
      </c>
      <c r="L281" s="13">
        <v>4163.0</v>
      </c>
      <c r="M281" s="4" t="s">
        <v>96</v>
      </c>
      <c r="N281" s="4" t="s">
        <v>50</v>
      </c>
      <c r="O281" s="4" t="s">
        <v>69</v>
      </c>
      <c r="P281" s="7"/>
      <c r="Q281" s="7"/>
      <c r="R281" s="7"/>
      <c r="S281" s="7"/>
      <c r="T281" s="7"/>
      <c r="U281" s="7"/>
      <c r="V281" s="7"/>
    </row>
    <row r="282" ht="14.25" customHeight="1">
      <c r="A282" s="4">
        <v>20238.0</v>
      </c>
      <c r="B282" s="11">
        <v>45909.0</v>
      </c>
      <c r="C282" s="4" t="s">
        <v>24</v>
      </c>
      <c r="D282" s="4" t="s">
        <v>52</v>
      </c>
      <c r="E282" s="4" t="s">
        <v>59</v>
      </c>
      <c r="F282" s="4" t="s">
        <v>86</v>
      </c>
      <c r="G282" s="4">
        <v>3.0</v>
      </c>
      <c r="H282" s="13">
        <v>449.0</v>
      </c>
      <c r="I282" s="13">
        <v>1347.0</v>
      </c>
      <c r="J282" s="4">
        <v>0.0</v>
      </c>
      <c r="K282" s="13">
        <v>0.0</v>
      </c>
      <c r="L282" s="13">
        <v>1347.0</v>
      </c>
      <c r="M282" s="4" t="s">
        <v>81</v>
      </c>
      <c r="N282" s="4" t="s">
        <v>72</v>
      </c>
      <c r="O282" s="4" t="s">
        <v>69</v>
      </c>
      <c r="P282" s="7"/>
      <c r="Q282" s="7"/>
      <c r="R282" s="7"/>
      <c r="S282" s="7"/>
      <c r="T282" s="7"/>
      <c r="U282" s="7"/>
      <c r="V282" s="7"/>
    </row>
    <row r="283" ht="14.25" customHeight="1">
      <c r="A283" s="4">
        <v>20010.0</v>
      </c>
      <c r="B283" s="11">
        <v>45910.0</v>
      </c>
      <c r="C283" s="4" t="s">
        <v>92</v>
      </c>
      <c r="D283" s="4" t="s">
        <v>25</v>
      </c>
      <c r="E283" s="4" t="s">
        <v>26</v>
      </c>
      <c r="F283" s="4" t="s">
        <v>104</v>
      </c>
      <c r="G283" s="4">
        <v>3.0</v>
      </c>
      <c r="H283" s="13">
        <v>283.0</v>
      </c>
      <c r="I283" s="13">
        <v>849.0</v>
      </c>
      <c r="J283" s="4">
        <v>5.0</v>
      </c>
      <c r="K283" s="13">
        <v>42.0</v>
      </c>
      <c r="L283" s="13">
        <v>807.0</v>
      </c>
      <c r="M283" s="4" t="s">
        <v>61</v>
      </c>
      <c r="N283" s="4" t="s">
        <v>56</v>
      </c>
      <c r="O283" s="4" t="s">
        <v>44</v>
      </c>
      <c r="P283" s="7"/>
      <c r="Q283" s="7"/>
      <c r="R283" s="7"/>
      <c r="S283" s="7"/>
      <c r="T283" s="7"/>
      <c r="U283" s="7"/>
      <c r="V283" s="7"/>
    </row>
    <row r="284" ht="14.25" customHeight="1">
      <c r="A284" s="4">
        <v>20293.0</v>
      </c>
      <c r="B284" s="11">
        <v>45910.0</v>
      </c>
      <c r="C284" s="4" t="s">
        <v>51</v>
      </c>
      <c r="D284" s="4" t="s">
        <v>52</v>
      </c>
      <c r="E284" s="4" t="s">
        <v>53</v>
      </c>
      <c r="F284" s="4" t="s">
        <v>54</v>
      </c>
      <c r="G284" s="4">
        <v>7.0</v>
      </c>
      <c r="H284" s="13">
        <v>1280.0</v>
      </c>
      <c r="I284" s="13">
        <v>8960.0</v>
      </c>
      <c r="J284" s="4">
        <v>0.0</v>
      </c>
      <c r="K284" s="13">
        <v>0.0</v>
      </c>
      <c r="L284" s="13">
        <v>8960.0</v>
      </c>
      <c r="M284" s="4" t="s">
        <v>42</v>
      </c>
      <c r="N284" s="4" t="s">
        <v>62</v>
      </c>
      <c r="O284" s="4" t="s">
        <v>69</v>
      </c>
      <c r="P284" s="7"/>
      <c r="Q284" s="7"/>
      <c r="R284" s="7"/>
      <c r="S284" s="7"/>
      <c r="T284" s="7"/>
      <c r="U284" s="7"/>
      <c r="V284" s="7"/>
    </row>
    <row r="285" ht="14.25" customHeight="1">
      <c r="A285" s="4">
        <v>20343.0</v>
      </c>
      <c r="B285" s="11">
        <v>45913.0</v>
      </c>
      <c r="C285" s="4" t="s">
        <v>73</v>
      </c>
      <c r="D285" s="4" t="s">
        <v>52</v>
      </c>
      <c r="E285" s="4" t="s">
        <v>53</v>
      </c>
      <c r="F285" s="4" t="s">
        <v>102</v>
      </c>
      <c r="G285" s="4">
        <v>8.0</v>
      </c>
      <c r="H285" s="13">
        <v>1125.0</v>
      </c>
      <c r="I285" s="13">
        <v>9000.0</v>
      </c>
      <c r="J285" s="4">
        <v>10.0</v>
      </c>
      <c r="K285" s="13">
        <v>900.0</v>
      </c>
      <c r="L285" s="13">
        <v>8100.0</v>
      </c>
      <c r="M285" s="4" t="s">
        <v>87</v>
      </c>
      <c r="N285" s="4" t="s">
        <v>62</v>
      </c>
      <c r="O285" s="4" t="s">
        <v>69</v>
      </c>
      <c r="P285" s="7"/>
      <c r="Q285" s="7"/>
      <c r="R285" s="7"/>
      <c r="S285" s="7"/>
      <c r="T285" s="7"/>
      <c r="U285" s="7"/>
      <c r="V285" s="7"/>
    </row>
    <row r="286" ht="14.25" customHeight="1">
      <c r="A286" s="4">
        <v>20167.0</v>
      </c>
      <c r="B286" s="11">
        <v>45914.0</v>
      </c>
      <c r="C286" s="4" t="s">
        <v>93</v>
      </c>
      <c r="D286" s="4" t="s">
        <v>25</v>
      </c>
      <c r="E286" s="4" t="s">
        <v>26</v>
      </c>
      <c r="F286" s="4" t="s">
        <v>104</v>
      </c>
      <c r="G286" s="4">
        <v>3.0</v>
      </c>
      <c r="H286" s="13">
        <v>461.0</v>
      </c>
      <c r="I286" s="13">
        <v>1383.0</v>
      </c>
      <c r="J286" s="4">
        <v>0.0</v>
      </c>
      <c r="K286" s="13">
        <v>0.0</v>
      </c>
      <c r="L286" s="13">
        <v>1383.0</v>
      </c>
      <c r="M286" s="4" t="s">
        <v>49</v>
      </c>
      <c r="N286" s="4" t="s">
        <v>56</v>
      </c>
      <c r="O286" s="4" t="s">
        <v>69</v>
      </c>
      <c r="P286" s="7"/>
      <c r="Q286" s="7"/>
      <c r="R286" s="7"/>
      <c r="S286" s="7"/>
      <c r="T286" s="7"/>
      <c r="U286" s="7"/>
      <c r="V286" s="7"/>
    </row>
    <row r="287" ht="14.25" customHeight="1">
      <c r="A287" s="4">
        <v>20206.0</v>
      </c>
      <c r="B287" s="11">
        <v>45916.0</v>
      </c>
      <c r="C287" s="4" t="s">
        <v>73</v>
      </c>
      <c r="D287" s="4" t="s">
        <v>52</v>
      </c>
      <c r="E287" s="4" t="s">
        <v>53</v>
      </c>
      <c r="F287" s="4" t="s">
        <v>102</v>
      </c>
      <c r="G287" s="4">
        <v>10.0</v>
      </c>
      <c r="H287" s="13">
        <v>1298.0</v>
      </c>
      <c r="I287" s="13">
        <v>12980.0</v>
      </c>
      <c r="J287" s="4">
        <v>10.0</v>
      </c>
      <c r="K287" s="13">
        <v>1298.0</v>
      </c>
      <c r="L287" s="13">
        <v>11682.0</v>
      </c>
      <c r="M287" s="4" t="s">
        <v>87</v>
      </c>
      <c r="N287" s="4" t="s">
        <v>43</v>
      </c>
      <c r="O287" s="4" t="s">
        <v>69</v>
      </c>
      <c r="P287" s="7"/>
      <c r="Q287" s="7"/>
      <c r="R287" s="7"/>
      <c r="S287" s="7"/>
      <c r="T287" s="7"/>
      <c r="U287" s="7"/>
      <c r="V287" s="7"/>
    </row>
    <row r="288" ht="14.25" customHeight="1">
      <c r="A288" s="4">
        <v>20134.0</v>
      </c>
      <c r="B288" s="11">
        <v>45920.0</v>
      </c>
      <c r="C288" s="4" t="s">
        <v>76</v>
      </c>
      <c r="D288" s="4" t="s">
        <v>64</v>
      </c>
      <c r="E288" s="4" t="s">
        <v>59</v>
      </c>
      <c r="F288" s="4" t="s">
        <v>79</v>
      </c>
      <c r="G288" s="4">
        <v>15.0</v>
      </c>
      <c r="H288" s="13">
        <v>238.0</v>
      </c>
      <c r="I288" s="13">
        <v>3570.0</v>
      </c>
      <c r="J288" s="4">
        <v>5.0</v>
      </c>
      <c r="K288" s="13">
        <v>178.0</v>
      </c>
      <c r="L288" s="13">
        <v>3392.0</v>
      </c>
      <c r="M288" s="4" t="s">
        <v>81</v>
      </c>
      <c r="N288" s="4" t="s">
        <v>43</v>
      </c>
      <c r="O288" s="4" t="s">
        <v>57</v>
      </c>
      <c r="P288" s="7"/>
      <c r="Q288" s="7"/>
      <c r="R288" s="7"/>
      <c r="S288" s="7"/>
      <c r="T288" s="7"/>
      <c r="U288" s="7"/>
      <c r="V288" s="7"/>
    </row>
    <row r="289" ht="14.25" customHeight="1">
      <c r="A289" s="4">
        <v>20182.0</v>
      </c>
      <c r="B289" s="11">
        <v>45921.0</v>
      </c>
      <c r="C289" s="4" t="s">
        <v>84</v>
      </c>
      <c r="D289" s="4" t="s">
        <v>46</v>
      </c>
      <c r="E289" s="4" t="s">
        <v>26</v>
      </c>
      <c r="F289" s="4" t="s">
        <v>111</v>
      </c>
      <c r="G289" s="4">
        <v>11.0</v>
      </c>
      <c r="H289" s="13">
        <v>217.0</v>
      </c>
      <c r="I289" s="13">
        <v>2387.0</v>
      </c>
      <c r="J289" s="4">
        <v>0.0</v>
      </c>
      <c r="K289" s="13">
        <v>0.0</v>
      </c>
      <c r="L289" s="13">
        <v>2387.0</v>
      </c>
      <c r="M289" s="4" t="s">
        <v>81</v>
      </c>
      <c r="N289" s="4" t="s">
        <v>72</v>
      </c>
      <c r="O289" s="4" t="s">
        <v>44</v>
      </c>
      <c r="P289" s="7"/>
      <c r="Q289" s="7"/>
      <c r="R289" s="7"/>
      <c r="S289" s="7"/>
      <c r="T289" s="7"/>
      <c r="U289" s="7"/>
      <c r="V289" s="7"/>
    </row>
    <row r="290" ht="14.25" customHeight="1">
      <c r="A290" s="4">
        <v>20363.0</v>
      </c>
      <c r="B290" s="11">
        <v>45921.0</v>
      </c>
      <c r="C290" s="4" t="s">
        <v>92</v>
      </c>
      <c r="D290" s="4" t="s">
        <v>25</v>
      </c>
      <c r="E290" s="4" t="s">
        <v>26</v>
      </c>
      <c r="F290" s="4" t="s">
        <v>100</v>
      </c>
      <c r="G290" s="4">
        <v>13.0</v>
      </c>
      <c r="H290" s="13">
        <v>127.0</v>
      </c>
      <c r="I290" s="13">
        <v>1651.0</v>
      </c>
      <c r="J290" s="4">
        <v>20.0</v>
      </c>
      <c r="K290" s="13">
        <v>330.0</v>
      </c>
      <c r="L290" s="13">
        <v>1321.0</v>
      </c>
      <c r="M290" s="4" t="s">
        <v>61</v>
      </c>
      <c r="N290" s="4" t="s">
        <v>62</v>
      </c>
      <c r="O290" s="4" t="s">
        <v>69</v>
      </c>
      <c r="P290" s="7"/>
      <c r="Q290" s="7"/>
      <c r="R290" s="7"/>
      <c r="S290" s="7"/>
      <c r="T290" s="7"/>
      <c r="U290" s="7"/>
      <c r="V290" s="7"/>
    </row>
    <row r="291" ht="14.25" customHeight="1">
      <c r="A291" s="4">
        <v>20404.0</v>
      </c>
      <c r="B291" s="11">
        <v>45922.0</v>
      </c>
      <c r="C291" s="4" t="s">
        <v>97</v>
      </c>
      <c r="D291" s="4" t="s">
        <v>25</v>
      </c>
      <c r="E291" s="4" t="s">
        <v>53</v>
      </c>
      <c r="F291" s="4" t="s">
        <v>75</v>
      </c>
      <c r="G291" s="4">
        <v>5.0</v>
      </c>
      <c r="H291" s="13">
        <v>1678.0</v>
      </c>
      <c r="I291" s="13">
        <v>8390.0</v>
      </c>
      <c r="J291" s="4">
        <v>0.0</v>
      </c>
      <c r="K291" s="13">
        <v>0.0</v>
      </c>
      <c r="L291" s="13">
        <v>8390.0</v>
      </c>
      <c r="M291" s="4" t="s">
        <v>87</v>
      </c>
      <c r="N291" s="4" t="s">
        <v>50</v>
      </c>
      <c r="O291" s="4" t="s">
        <v>44</v>
      </c>
      <c r="P291" s="7"/>
      <c r="Q291" s="7"/>
      <c r="R291" s="7"/>
      <c r="S291" s="7"/>
      <c r="T291" s="7"/>
      <c r="U291" s="7"/>
      <c r="V291" s="7"/>
    </row>
    <row r="292" ht="14.25" customHeight="1">
      <c r="A292" s="4">
        <v>20076.0</v>
      </c>
      <c r="B292" s="11">
        <v>45923.0</v>
      </c>
      <c r="C292" s="4" t="s">
        <v>45</v>
      </c>
      <c r="D292" s="4" t="s">
        <v>46</v>
      </c>
      <c r="E292" s="4" t="s">
        <v>47</v>
      </c>
      <c r="F292" s="4" t="s">
        <v>27</v>
      </c>
      <c r="G292" s="4">
        <v>11.0</v>
      </c>
      <c r="H292" s="13">
        <v>1292.0</v>
      </c>
      <c r="I292" s="13">
        <v>14212.0</v>
      </c>
      <c r="J292" s="4">
        <v>10.0</v>
      </c>
      <c r="K292" s="13">
        <v>1421.0</v>
      </c>
      <c r="L292" s="13">
        <v>12791.0</v>
      </c>
      <c r="M292" s="4" t="s">
        <v>68</v>
      </c>
      <c r="N292" s="4" t="s">
        <v>72</v>
      </c>
      <c r="O292" s="4" t="s">
        <v>44</v>
      </c>
      <c r="P292" s="7"/>
      <c r="Q292" s="7"/>
      <c r="R292" s="7"/>
      <c r="S292" s="7"/>
      <c r="T292" s="7"/>
      <c r="U292" s="7"/>
      <c r="V292" s="7"/>
    </row>
    <row r="293" ht="14.25" customHeight="1">
      <c r="A293" s="4">
        <v>20156.0</v>
      </c>
      <c r="B293" s="11">
        <v>45923.0</v>
      </c>
      <c r="C293" s="4" t="s">
        <v>89</v>
      </c>
      <c r="D293" s="4" t="s">
        <v>46</v>
      </c>
      <c r="E293" s="4" t="s">
        <v>26</v>
      </c>
      <c r="F293" s="4" t="s">
        <v>74</v>
      </c>
      <c r="G293" s="4">
        <v>4.0</v>
      </c>
      <c r="H293" s="13">
        <v>401.0</v>
      </c>
      <c r="I293" s="13">
        <v>1604.0</v>
      </c>
      <c r="J293" s="4">
        <v>0.0</v>
      </c>
      <c r="K293" s="13">
        <v>0.0</v>
      </c>
      <c r="L293" s="13">
        <v>1604.0</v>
      </c>
      <c r="M293" s="4" t="s">
        <v>87</v>
      </c>
      <c r="N293" s="4" t="s">
        <v>50</v>
      </c>
      <c r="O293" s="4" t="s">
        <v>57</v>
      </c>
      <c r="P293" s="7"/>
      <c r="Q293" s="7"/>
      <c r="R293" s="7"/>
      <c r="S293" s="7"/>
      <c r="T293" s="7"/>
      <c r="U293" s="7"/>
      <c r="V293" s="7"/>
    </row>
    <row r="294" ht="14.25" customHeight="1">
      <c r="A294" s="4">
        <v>20398.0</v>
      </c>
      <c r="B294" s="11">
        <v>45923.0</v>
      </c>
      <c r="C294" s="4" t="s">
        <v>89</v>
      </c>
      <c r="D294" s="4" t="s">
        <v>46</v>
      </c>
      <c r="E294" s="4" t="s">
        <v>77</v>
      </c>
      <c r="F294" s="4" t="s">
        <v>90</v>
      </c>
      <c r="G294" s="4">
        <v>13.0</v>
      </c>
      <c r="H294" s="13">
        <v>5125.0</v>
      </c>
      <c r="I294" s="13">
        <v>66625.0</v>
      </c>
      <c r="J294" s="4">
        <v>15.0</v>
      </c>
      <c r="K294" s="13">
        <v>9994.0</v>
      </c>
      <c r="L294" s="13">
        <v>56631.0</v>
      </c>
      <c r="M294" s="4" t="s">
        <v>81</v>
      </c>
      <c r="N294" s="4" t="s">
        <v>72</v>
      </c>
      <c r="O294" s="4" t="s">
        <v>69</v>
      </c>
      <c r="P294" s="7"/>
      <c r="Q294" s="7"/>
      <c r="R294" s="7"/>
      <c r="S294" s="7"/>
      <c r="T294" s="7"/>
      <c r="U294" s="7"/>
      <c r="V294" s="7"/>
    </row>
    <row r="295" ht="14.25" customHeight="1">
      <c r="A295" s="4">
        <v>20315.0</v>
      </c>
      <c r="B295" s="11">
        <v>45924.0</v>
      </c>
      <c r="C295" s="4" t="s">
        <v>51</v>
      </c>
      <c r="D295" s="4" t="s">
        <v>52</v>
      </c>
      <c r="E295" s="4" t="s">
        <v>47</v>
      </c>
      <c r="F295" s="4" t="s">
        <v>91</v>
      </c>
      <c r="G295" s="4">
        <v>1.0</v>
      </c>
      <c r="H295" s="13">
        <v>1356.0</v>
      </c>
      <c r="I295" s="13">
        <v>1356.0</v>
      </c>
      <c r="J295" s="4">
        <v>0.0</v>
      </c>
      <c r="K295" s="13">
        <v>0.0</v>
      </c>
      <c r="L295" s="13">
        <v>1356.0</v>
      </c>
      <c r="M295" s="4" t="s">
        <v>71</v>
      </c>
      <c r="N295" s="4" t="s">
        <v>43</v>
      </c>
      <c r="O295" s="4" t="s">
        <v>69</v>
      </c>
      <c r="P295" s="7"/>
      <c r="Q295" s="7"/>
      <c r="R295" s="7"/>
      <c r="S295" s="7"/>
      <c r="T295" s="7"/>
      <c r="U295" s="7"/>
      <c r="V295" s="7"/>
    </row>
    <row r="296" ht="14.25" customHeight="1">
      <c r="A296" s="4">
        <v>20304.0</v>
      </c>
      <c r="B296" s="11">
        <v>45925.0</v>
      </c>
      <c r="C296" s="4" t="s">
        <v>24</v>
      </c>
      <c r="D296" s="4" t="s">
        <v>52</v>
      </c>
      <c r="E296" s="4" t="s">
        <v>26</v>
      </c>
      <c r="F296" s="4" t="s">
        <v>111</v>
      </c>
      <c r="G296" s="4">
        <v>3.0</v>
      </c>
      <c r="H296" s="13">
        <v>271.0</v>
      </c>
      <c r="I296" s="13">
        <v>813.0</v>
      </c>
      <c r="J296" s="4">
        <v>0.0</v>
      </c>
      <c r="K296" s="13">
        <v>0.0</v>
      </c>
      <c r="L296" s="13">
        <v>813.0</v>
      </c>
      <c r="M296" s="4" t="s">
        <v>49</v>
      </c>
      <c r="N296" s="4" t="s">
        <v>62</v>
      </c>
      <c r="O296" s="4" t="s">
        <v>44</v>
      </c>
      <c r="P296" s="7"/>
      <c r="Q296" s="7"/>
      <c r="R296" s="7"/>
      <c r="S296" s="7"/>
      <c r="T296" s="7"/>
      <c r="U296" s="7"/>
      <c r="V296" s="7"/>
    </row>
    <row r="297" ht="14.25" customHeight="1">
      <c r="A297" s="4">
        <v>20208.0</v>
      </c>
      <c r="B297" s="11">
        <v>45926.0</v>
      </c>
      <c r="C297" s="4" t="s">
        <v>76</v>
      </c>
      <c r="D297" s="4" t="s">
        <v>64</v>
      </c>
      <c r="E297" s="4" t="s">
        <v>77</v>
      </c>
      <c r="F297" s="4" t="s">
        <v>78</v>
      </c>
      <c r="G297" s="4">
        <v>10.0</v>
      </c>
      <c r="H297" s="13">
        <v>7578.0</v>
      </c>
      <c r="I297" s="13">
        <v>75780.0</v>
      </c>
      <c r="J297" s="4">
        <v>0.0</v>
      </c>
      <c r="K297" s="13">
        <v>0.0</v>
      </c>
      <c r="L297" s="13">
        <v>75780.0</v>
      </c>
      <c r="M297" s="4" t="s">
        <v>55</v>
      </c>
      <c r="N297" s="4" t="s">
        <v>43</v>
      </c>
      <c r="O297" s="4" t="s">
        <v>44</v>
      </c>
      <c r="P297" s="7"/>
      <c r="Q297" s="7"/>
      <c r="R297" s="7"/>
      <c r="S297" s="7"/>
      <c r="T297" s="7"/>
      <c r="U297" s="7"/>
      <c r="V297" s="7"/>
    </row>
    <row r="298" ht="14.25" customHeight="1">
      <c r="A298" s="4">
        <v>20186.0</v>
      </c>
      <c r="B298" s="11">
        <v>45927.0</v>
      </c>
      <c r="C298" s="4" t="s">
        <v>73</v>
      </c>
      <c r="D298" s="4" t="s">
        <v>52</v>
      </c>
      <c r="E298" s="4" t="s">
        <v>47</v>
      </c>
      <c r="F298" s="4" t="s">
        <v>67</v>
      </c>
      <c r="G298" s="4">
        <v>2.0</v>
      </c>
      <c r="H298" s="13">
        <v>1027.0</v>
      </c>
      <c r="I298" s="13">
        <v>2054.0</v>
      </c>
      <c r="J298" s="4">
        <v>10.0</v>
      </c>
      <c r="K298" s="13">
        <v>205.0</v>
      </c>
      <c r="L298" s="13">
        <v>1849.0</v>
      </c>
      <c r="M298" s="4" t="s">
        <v>87</v>
      </c>
      <c r="N298" s="4" t="s">
        <v>50</v>
      </c>
      <c r="O298" s="4" t="s">
        <v>69</v>
      </c>
      <c r="P298" s="7"/>
      <c r="Q298" s="7"/>
      <c r="R298" s="7"/>
      <c r="S298" s="7"/>
      <c r="T298" s="7"/>
      <c r="U298" s="7"/>
      <c r="V298" s="7"/>
    </row>
    <row r="299" ht="14.25" customHeight="1">
      <c r="A299" s="4">
        <v>20281.0</v>
      </c>
      <c r="B299" s="11">
        <v>45927.0</v>
      </c>
      <c r="C299" s="4" t="s">
        <v>63</v>
      </c>
      <c r="D299" s="4" t="s">
        <v>64</v>
      </c>
      <c r="E299" s="4" t="s">
        <v>47</v>
      </c>
      <c r="F299" s="4" t="s">
        <v>91</v>
      </c>
      <c r="G299" s="4">
        <v>7.0</v>
      </c>
      <c r="H299" s="13">
        <v>1608.0</v>
      </c>
      <c r="I299" s="13">
        <v>11256.0</v>
      </c>
      <c r="J299" s="4">
        <v>10.0</v>
      </c>
      <c r="K299" s="13">
        <v>1126.0</v>
      </c>
      <c r="L299" s="13">
        <v>10130.0</v>
      </c>
      <c r="M299" s="4" t="s">
        <v>87</v>
      </c>
      <c r="N299" s="4" t="s">
        <v>72</v>
      </c>
      <c r="O299" s="4" t="s">
        <v>44</v>
      </c>
      <c r="P299" s="7"/>
      <c r="Q299" s="7"/>
      <c r="R299" s="7"/>
      <c r="S299" s="7"/>
      <c r="T299" s="7"/>
      <c r="U299" s="7"/>
      <c r="V299" s="7"/>
    </row>
    <row r="300" ht="14.25" customHeight="1">
      <c r="A300" s="4">
        <v>20011.0</v>
      </c>
      <c r="B300" s="11">
        <v>45928.0</v>
      </c>
      <c r="C300" s="4" t="s">
        <v>66</v>
      </c>
      <c r="D300" s="4" t="s">
        <v>46</v>
      </c>
      <c r="E300" s="4" t="s">
        <v>47</v>
      </c>
      <c r="F300" s="4" t="s">
        <v>91</v>
      </c>
      <c r="G300" s="4">
        <v>11.0</v>
      </c>
      <c r="H300" s="13">
        <v>1291.0</v>
      </c>
      <c r="I300" s="13">
        <v>14201.0</v>
      </c>
      <c r="J300" s="4">
        <v>20.0</v>
      </c>
      <c r="K300" s="13">
        <v>2840.0</v>
      </c>
      <c r="L300" s="13">
        <v>11361.0</v>
      </c>
      <c r="M300" s="4" t="s">
        <v>55</v>
      </c>
      <c r="N300" s="4" t="s">
        <v>62</v>
      </c>
      <c r="O300" s="4" t="s">
        <v>44</v>
      </c>
      <c r="P300" s="7"/>
      <c r="Q300" s="7"/>
      <c r="R300" s="7"/>
      <c r="S300" s="7"/>
      <c r="T300" s="7"/>
      <c r="U300" s="7"/>
      <c r="V300" s="7"/>
    </row>
    <row r="301" ht="14.25" customHeight="1">
      <c r="A301" s="4">
        <v>20112.0</v>
      </c>
      <c r="B301" s="11">
        <v>45929.0</v>
      </c>
      <c r="C301" s="4" t="s">
        <v>99</v>
      </c>
      <c r="D301" s="4" t="s">
        <v>64</v>
      </c>
      <c r="E301" s="4" t="s">
        <v>59</v>
      </c>
      <c r="F301" s="4" t="s">
        <v>86</v>
      </c>
      <c r="G301" s="4">
        <v>8.0</v>
      </c>
      <c r="H301" s="13">
        <v>219.0</v>
      </c>
      <c r="I301" s="13">
        <v>1752.0</v>
      </c>
      <c r="J301" s="4">
        <v>20.0</v>
      </c>
      <c r="K301" s="13">
        <v>350.0</v>
      </c>
      <c r="L301" s="13">
        <v>1402.0</v>
      </c>
      <c r="M301" s="4" t="s">
        <v>49</v>
      </c>
      <c r="N301" s="4" t="s">
        <v>56</v>
      </c>
      <c r="O301" s="4" t="s">
        <v>69</v>
      </c>
      <c r="P301" s="7"/>
      <c r="Q301" s="7"/>
      <c r="R301" s="7"/>
      <c r="S301" s="7"/>
      <c r="T301" s="7"/>
      <c r="U301" s="7"/>
      <c r="V301" s="7"/>
    </row>
    <row r="302" ht="14.25" customHeight="1">
      <c r="A302" s="4">
        <v>20270.0</v>
      </c>
      <c r="B302" s="11">
        <v>45929.0</v>
      </c>
      <c r="C302" s="4" t="s">
        <v>63</v>
      </c>
      <c r="D302" s="4" t="s">
        <v>64</v>
      </c>
      <c r="E302" s="4" t="s">
        <v>59</v>
      </c>
      <c r="F302" s="4" t="s">
        <v>86</v>
      </c>
      <c r="G302" s="4">
        <v>1.0</v>
      </c>
      <c r="H302" s="13">
        <v>107.0</v>
      </c>
      <c r="I302" s="13">
        <v>107.0</v>
      </c>
      <c r="J302" s="4">
        <v>0.0</v>
      </c>
      <c r="K302" s="13">
        <v>0.0</v>
      </c>
      <c r="L302" s="13">
        <v>107.0</v>
      </c>
      <c r="M302" s="4" t="s">
        <v>87</v>
      </c>
      <c r="N302" s="4" t="s">
        <v>43</v>
      </c>
      <c r="O302" s="4" t="s">
        <v>57</v>
      </c>
      <c r="P302" s="7"/>
      <c r="Q302" s="7"/>
      <c r="R302" s="7"/>
      <c r="S302" s="7"/>
      <c r="T302" s="7"/>
      <c r="U302" s="7"/>
      <c r="V302" s="7"/>
    </row>
    <row r="303" ht="14.25" customHeight="1">
      <c r="A303" s="4">
        <v>20325.0</v>
      </c>
      <c r="B303" s="11">
        <v>45929.0</v>
      </c>
      <c r="C303" s="4" t="s">
        <v>99</v>
      </c>
      <c r="D303" s="4" t="s">
        <v>64</v>
      </c>
      <c r="E303" s="4" t="s">
        <v>26</v>
      </c>
      <c r="F303" s="4" t="s">
        <v>94</v>
      </c>
      <c r="G303" s="4">
        <v>1.0</v>
      </c>
      <c r="H303" s="13">
        <v>374.0</v>
      </c>
      <c r="I303" s="13">
        <v>374.0</v>
      </c>
      <c r="J303" s="4">
        <v>0.0</v>
      </c>
      <c r="K303" s="13">
        <v>0.0</v>
      </c>
      <c r="L303" s="13">
        <v>374.0</v>
      </c>
      <c r="M303" s="4" t="s">
        <v>71</v>
      </c>
      <c r="N303" s="4" t="s">
        <v>43</v>
      </c>
      <c r="O303" s="4" t="s">
        <v>57</v>
      </c>
      <c r="P303" s="7"/>
      <c r="Q303" s="7"/>
      <c r="R303" s="7"/>
      <c r="S303" s="7"/>
      <c r="T303" s="7"/>
      <c r="U303" s="7"/>
      <c r="V303" s="7"/>
    </row>
    <row r="304" ht="14.25" customHeight="1">
      <c r="A304" s="4">
        <v>20056.0</v>
      </c>
      <c r="B304" s="11">
        <v>45930.0</v>
      </c>
      <c r="C304" s="4" t="s">
        <v>24</v>
      </c>
      <c r="D304" s="4" t="s">
        <v>52</v>
      </c>
      <c r="E304" s="4" t="s">
        <v>53</v>
      </c>
      <c r="F304" s="4" t="s">
        <v>102</v>
      </c>
      <c r="G304" s="4">
        <v>9.0</v>
      </c>
      <c r="H304" s="13">
        <v>1159.0</v>
      </c>
      <c r="I304" s="13">
        <v>10431.0</v>
      </c>
      <c r="J304" s="4">
        <v>5.0</v>
      </c>
      <c r="K304" s="13">
        <v>522.0</v>
      </c>
      <c r="L304" s="13">
        <v>9909.0</v>
      </c>
      <c r="M304" s="4" t="s">
        <v>55</v>
      </c>
      <c r="N304" s="4" t="s">
        <v>43</v>
      </c>
      <c r="O304" s="4" t="s">
        <v>57</v>
      </c>
      <c r="P304" s="7"/>
      <c r="Q304" s="7"/>
      <c r="R304" s="7"/>
      <c r="S304" s="7"/>
      <c r="T304" s="7"/>
      <c r="U304" s="7"/>
      <c r="V304" s="7"/>
    </row>
    <row r="305" ht="14.25" customHeight="1">
      <c r="A305" s="4">
        <v>20192.0</v>
      </c>
      <c r="B305" s="11">
        <v>45930.0</v>
      </c>
      <c r="C305" s="4" t="s">
        <v>51</v>
      </c>
      <c r="D305" s="4" t="s">
        <v>52</v>
      </c>
      <c r="E305" s="4" t="s">
        <v>77</v>
      </c>
      <c r="F305" s="4" t="s">
        <v>78</v>
      </c>
      <c r="G305" s="4">
        <v>8.0</v>
      </c>
      <c r="H305" s="13">
        <v>2170.0</v>
      </c>
      <c r="I305" s="13">
        <v>17360.0</v>
      </c>
      <c r="J305" s="4">
        <v>0.0</v>
      </c>
      <c r="K305" s="13">
        <v>0.0</v>
      </c>
      <c r="L305" s="13">
        <v>17360.0</v>
      </c>
      <c r="M305" s="4" t="s">
        <v>61</v>
      </c>
      <c r="N305" s="4" t="s">
        <v>56</v>
      </c>
      <c r="O305" s="4" t="s">
        <v>69</v>
      </c>
      <c r="P305" s="7"/>
      <c r="Q305" s="7"/>
      <c r="R305" s="7"/>
      <c r="S305" s="7"/>
      <c r="T305" s="7"/>
      <c r="U305" s="7"/>
      <c r="V305" s="7"/>
    </row>
    <row r="306" ht="14.25" customHeight="1">
      <c r="A306" s="4">
        <v>20179.0</v>
      </c>
      <c r="B306" s="11">
        <v>45931.0</v>
      </c>
      <c r="C306" s="4" t="s">
        <v>93</v>
      </c>
      <c r="D306" s="4" t="s">
        <v>25</v>
      </c>
      <c r="E306" s="4" t="s">
        <v>77</v>
      </c>
      <c r="F306" s="4" t="s">
        <v>110</v>
      </c>
      <c r="G306" s="4">
        <v>15.0</v>
      </c>
      <c r="H306" s="13">
        <v>8433.0</v>
      </c>
      <c r="I306" s="13">
        <v>126495.0</v>
      </c>
      <c r="J306" s="4">
        <v>0.0</v>
      </c>
      <c r="K306" s="13">
        <v>0.0</v>
      </c>
      <c r="L306" s="13">
        <v>126495.0</v>
      </c>
      <c r="M306" s="4" t="s">
        <v>96</v>
      </c>
      <c r="N306" s="4" t="s">
        <v>62</v>
      </c>
      <c r="O306" s="4" t="s">
        <v>69</v>
      </c>
      <c r="P306" s="7"/>
      <c r="Q306" s="7"/>
      <c r="R306" s="7"/>
      <c r="S306" s="7"/>
      <c r="T306" s="7"/>
      <c r="U306" s="7"/>
      <c r="V306" s="7"/>
    </row>
    <row r="307" ht="14.25" customHeight="1">
      <c r="A307" s="4">
        <v>20201.0</v>
      </c>
      <c r="B307" s="11">
        <v>45931.0</v>
      </c>
      <c r="C307" s="4" t="s">
        <v>45</v>
      </c>
      <c r="D307" s="4" t="s">
        <v>46</v>
      </c>
      <c r="E307" s="4" t="s">
        <v>53</v>
      </c>
      <c r="F307" s="4" t="s">
        <v>95</v>
      </c>
      <c r="G307" s="4">
        <v>6.0</v>
      </c>
      <c r="H307" s="13">
        <v>1317.0</v>
      </c>
      <c r="I307" s="13">
        <v>7902.0</v>
      </c>
      <c r="J307" s="4">
        <v>20.0</v>
      </c>
      <c r="K307" s="13">
        <v>1580.0</v>
      </c>
      <c r="L307" s="13">
        <v>6322.0</v>
      </c>
      <c r="M307" s="4" t="s">
        <v>42</v>
      </c>
      <c r="N307" s="4" t="s">
        <v>72</v>
      </c>
      <c r="O307" s="4" t="s">
        <v>69</v>
      </c>
      <c r="P307" s="7"/>
      <c r="Q307" s="7"/>
      <c r="R307" s="7"/>
      <c r="S307" s="7"/>
      <c r="T307" s="7"/>
      <c r="U307" s="7"/>
      <c r="V307" s="7"/>
    </row>
    <row r="308" ht="14.25" customHeight="1">
      <c r="A308" s="4">
        <v>20368.0</v>
      </c>
      <c r="B308" s="11">
        <v>45931.0</v>
      </c>
      <c r="C308" s="4" t="s">
        <v>63</v>
      </c>
      <c r="D308" s="4" t="s">
        <v>64</v>
      </c>
      <c r="E308" s="4" t="s">
        <v>77</v>
      </c>
      <c r="F308" s="4" t="s">
        <v>105</v>
      </c>
      <c r="G308" s="4">
        <v>7.0</v>
      </c>
      <c r="H308" s="13">
        <v>6094.0</v>
      </c>
      <c r="I308" s="13">
        <v>42658.0</v>
      </c>
      <c r="J308" s="4">
        <v>0.0</v>
      </c>
      <c r="K308" s="13">
        <v>0.0</v>
      </c>
      <c r="L308" s="13">
        <v>42658.0</v>
      </c>
      <c r="M308" s="4" t="s">
        <v>87</v>
      </c>
      <c r="N308" s="4" t="s">
        <v>56</v>
      </c>
      <c r="O308" s="4" t="s">
        <v>69</v>
      </c>
      <c r="P308" s="7"/>
      <c r="Q308" s="7"/>
      <c r="R308" s="7"/>
      <c r="S308" s="7"/>
      <c r="T308" s="7"/>
      <c r="U308" s="7"/>
      <c r="V308" s="7"/>
    </row>
    <row r="309" ht="14.25" customHeight="1">
      <c r="A309" s="4">
        <v>20259.0</v>
      </c>
      <c r="B309" s="11">
        <v>45932.0</v>
      </c>
      <c r="C309" s="4" t="s">
        <v>76</v>
      </c>
      <c r="D309" s="4" t="s">
        <v>64</v>
      </c>
      <c r="E309" s="4" t="s">
        <v>53</v>
      </c>
      <c r="F309" s="4" t="s">
        <v>102</v>
      </c>
      <c r="G309" s="4">
        <v>5.0</v>
      </c>
      <c r="H309" s="13">
        <v>715.0</v>
      </c>
      <c r="I309" s="13">
        <v>3575.0</v>
      </c>
      <c r="J309" s="4">
        <v>0.0</v>
      </c>
      <c r="K309" s="13">
        <v>0.0</v>
      </c>
      <c r="L309" s="13">
        <v>3575.0</v>
      </c>
      <c r="M309" s="4" t="s">
        <v>61</v>
      </c>
      <c r="N309" s="4" t="s">
        <v>56</v>
      </c>
      <c r="O309" s="4" t="s">
        <v>57</v>
      </c>
      <c r="P309" s="7"/>
      <c r="Q309" s="7"/>
      <c r="R309" s="7"/>
      <c r="S309" s="7"/>
      <c r="T309" s="7"/>
      <c r="U309" s="7"/>
      <c r="V309" s="7"/>
    </row>
    <row r="310" ht="14.25" customHeight="1">
      <c r="A310" s="4">
        <v>20305.0</v>
      </c>
      <c r="B310" s="11">
        <v>45932.0</v>
      </c>
      <c r="C310" s="4" t="s">
        <v>45</v>
      </c>
      <c r="D310" s="4" t="s">
        <v>46</v>
      </c>
      <c r="E310" s="4" t="s">
        <v>59</v>
      </c>
      <c r="F310" s="4" t="s">
        <v>85</v>
      </c>
      <c r="G310" s="4">
        <v>7.0</v>
      </c>
      <c r="H310" s="13">
        <v>302.0</v>
      </c>
      <c r="I310" s="13">
        <v>2114.0</v>
      </c>
      <c r="J310" s="4">
        <v>0.0</v>
      </c>
      <c r="K310" s="13">
        <v>0.0</v>
      </c>
      <c r="L310" s="13">
        <v>2114.0</v>
      </c>
      <c r="M310" s="4" t="s">
        <v>96</v>
      </c>
      <c r="N310" s="4" t="s">
        <v>43</v>
      </c>
      <c r="O310" s="4" t="s">
        <v>69</v>
      </c>
      <c r="P310" s="7"/>
      <c r="Q310" s="7"/>
      <c r="R310" s="7"/>
      <c r="S310" s="7"/>
      <c r="T310" s="7"/>
      <c r="U310" s="7"/>
      <c r="V310" s="7"/>
    </row>
    <row r="311" ht="14.25" customHeight="1">
      <c r="A311" s="4">
        <v>20176.0</v>
      </c>
      <c r="B311" s="11">
        <v>45933.0</v>
      </c>
      <c r="C311" s="4" t="s">
        <v>66</v>
      </c>
      <c r="D311" s="4" t="s">
        <v>46</v>
      </c>
      <c r="E311" s="4" t="s">
        <v>47</v>
      </c>
      <c r="F311" s="4" t="s">
        <v>67</v>
      </c>
      <c r="G311" s="4">
        <v>3.0</v>
      </c>
      <c r="H311" s="13">
        <v>1179.0</v>
      </c>
      <c r="I311" s="13">
        <v>3537.0</v>
      </c>
      <c r="J311" s="4">
        <v>0.0</v>
      </c>
      <c r="K311" s="13">
        <v>0.0</v>
      </c>
      <c r="L311" s="13">
        <v>3537.0</v>
      </c>
      <c r="M311" s="4" t="s">
        <v>81</v>
      </c>
      <c r="N311" s="4" t="s">
        <v>56</v>
      </c>
      <c r="O311" s="4" t="s">
        <v>69</v>
      </c>
      <c r="P311" s="7"/>
      <c r="Q311" s="7"/>
      <c r="R311" s="7"/>
      <c r="S311" s="7"/>
      <c r="T311" s="7"/>
      <c r="U311" s="7"/>
      <c r="V311" s="7"/>
    </row>
    <row r="312" ht="14.25" customHeight="1">
      <c r="A312" s="4">
        <v>20191.0</v>
      </c>
      <c r="B312" s="11">
        <v>45933.0</v>
      </c>
      <c r="C312" s="4" t="s">
        <v>51</v>
      </c>
      <c r="D312" s="4" t="s">
        <v>52</v>
      </c>
      <c r="E312" s="4" t="s">
        <v>47</v>
      </c>
      <c r="F312" s="4" t="s">
        <v>65</v>
      </c>
      <c r="G312" s="4">
        <v>12.0</v>
      </c>
      <c r="H312" s="13">
        <v>292.0</v>
      </c>
      <c r="I312" s="13">
        <v>3504.0</v>
      </c>
      <c r="J312" s="4">
        <v>0.0</v>
      </c>
      <c r="K312" s="13">
        <v>0.0</v>
      </c>
      <c r="L312" s="13">
        <v>3504.0</v>
      </c>
      <c r="M312" s="4" t="s">
        <v>42</v>
      </c>
      <c r="N312" s="4" t="s">
        <v>56</v>
      </c>
      <c r="O312" s="4" t="s">
        <v>44</v>
      </c>
      <c r="P312" s="7"/>
      <c r="Q312" s="7"/>
      <c r="R312" s="7"/>
      <c r="S312" s="7"/>
      <c r="T312" s="7"/>
      <c r="U312" s="7"/>
      <c r="V312" s="7"/>
    </row>
    <row r="313" ht="14.25" customHeight="1">
      <c r="A313" s="4">
        <v>20239.0</v>
      </c>
      <c r="B313" s="11">
        <v>45933.0</v>
      </c>
      <c r="C313" s="4" t="s">
        <v>89</v>
      </c>
      <c r="D313" s="4" t="s">
        <v>46</v>
      </c>
      <c r="E313" s="4" t="s">
        <v>77</v>
      </c>
      <c r="F313" s="4" t="s">
        <v>110</v>
      </c>
      <c r="G313" s="4">
        <v>10.0</v>
      </c>
      <c r="H313" s="13">
        <v>5403.0</v>
      </c>
      <c r="I313" s="13">
        <v>54030.0</v>
      </c>
      <c r="J313" s="4">
        <v>0.0</v>
      </c>
      <c r="K313" s="13">
        <v>0.0</v>
      </c>
      <c r="L313" s="13">
        <v>54030.0</v>
      </c>
      <c r="M313" s="4" t="s">
        <v>87</v>
      </c>
      <c r="N313" s="4" t="s">
        <v>72</v>
      </c>
      <c r="O313" s="4" t="s">
        <v>57</v>
      </c>
      <c r="P313" s="7"/>
      <c r="Q313" s="7"/>
      <c r="R313" s="7"/>
      <c r="S313" s="7"/>
      <c r="T313" s="7"/>
      <c r="U313" s="7"/>
      <c r="V313" s="7"/>
    </row>
    <row r="314" ht="14.25" customHeight="1">
      <c r="A314" s="4">
        <v>20364.0</v>
      </c>
      <c r="B314" s="11">
        <v>45933.0</v>
      </c>
      <c r="C314" s="4" t="s">
        <v>24</v>
      </c>
      <c r="D314" s="4" t="s">
        <v>52</v>
      </c>
      <c r="E314" s="4" t="s">
        <v>26</v>
      </c>
      <c r="F314" s="4" t="s">
        <v>94</v>
      </c>
      <c r="G314" s="4">
        <v>11.0</v>
      </c>
      <c r="H314" s="13">
        <v>277.0</v>
      </c>
      <c r="I314" s="13">
        <v>3047.0</v>
      </c>
      <c r="J314" s="4">
        <v>0.0</v>
      </c>
      <c r="K314" s="13">
        <v>0.0</v>
      </c>
      <c r="L314" s="13">
        <v>3047.0</v>
      </c>
      <c r="M314" s="4" t="s">
        <v>71</v>
      </c>
      <c r="N314" s="4" t="s">
        <v>62</v>
      </c>
      <c r="O314" s="4" t="s">
        <v>69</v>
      </c>
      <c r="P314" s="7"/>
      <c r="Q314" s="7"/>
      <c r="R314" s="7"/>
      <c r="S314" s="7"/>
      <c r="T314" s="7"/>
      <c r="U314" s="7"/>
      <c r="V314" s="7"/>
    </row>
    <row r="315" ht="14.25" customHeight="1">
      <c r="A315" s="4">
        <v>20046.0</v>
      </c>
      <c r="B315" s="11">
        <v>45934.0</v>
      </c>
      <c r="C315" s="4" t="s">
        <v>92</v>
      </c>
      <c r="D315" s="4" t="s">
        <v>25</v>
      </c>
      <c r="E315" s="4" t="s">
        <v>77</v>
      </c>
      <c r="F315" s="4" t="s">
        <v>78</v>
      </c>
      <c r="G315" s="4">
        <v>4.0</v>
      </c>
      <c r="H315" s="13">
        <v>6584.0</v>
      </c>
      <c r="I315" s="13">
        <v>26336.0</v>
      </c>
      <c r="J315" s="4">
        <v>0.0</v>
      </c>
      <c r="K315" s="13">
        <v>0.0</v>
      </c>
      <c r="L315" s="13">
        <v>26336.0</v>
      </c>
      <c r="M315" s="4" t="s">
        <v>61</v>
      </c>
      <c r="N315" s="4" t="s">
        <v>43</v>
      </c>
      <c r="O315" s="4" t="s">
        <v>44</v>
      </c>
      <c r="P315" s="7"/>
      <c r="Q315" s="7"/>
      <c r="R315" s="7"/>
      <c r="S315" s="7"/>
      <c r="T315" s="7"/>
      <c r="U315" s="7"/>
      <c r="V315" s="7"/>
    </row>
    <row r="316" ht="14.25" customHeight="1">
      <c r="A316" s="4">
        <v>20362.0</v>
      </c>
      <c r="B316" s="11">
        <v>45934.0</v>
      </c>
      <c r="C316" s="4" t="s">
        <v>89</v>
      </c>
      <c r="D316" s="4" t="s">
        <v>46</v>
      </c>
      <c r="E316" s="4" t="s">
        <v>26</v>
      </c>
      <c r="F316" s="4" t="s">
        <v>70</v>
      </c>
      <c r="G316" s="4">
        <v>14.0</v>
      </c>
      <c r="H316" s="13">
        <v>503.0</v>
      </c>
      <c r="I316" s="13">
        <v>7042.0</v>
      </c>
      <c r="J316" s="4">
        <v>0.0</v>
      </c>
      <c r="K316" s="13">
        <v>0.0</v>
      </c>
      <c r="L316" s="13">
        <v>7042.0</v>
      </c>
      <c r="M316" s="4" t="s">
        <v>96</v>
      </c>
      <c r="N316" s="4" t="s">
        <v>50</v>
      </c>
      <c r="O316" s="4" t="s">
        <v>44</v>
      </c>
      <c r="P316" s="7"/>
      <c r="Q316" s="7"/>
      <c r="R316" s="7"/>
      <c r="S316" s="7"/>
      <c r="T316" s="7"/>
      <c r="U316" s="7"/>
      <c r="V316" s="7"/>
    </row>
    <row r="317" ht="14.25" customHeight="1">
      <c r="A317" s="4">
        <v>20047.0</v>
      </c>
      <c r="B317" s="11">
        <v>45935.0</v>
      </c>
      <c r="C317" s="4" t="s">
        <v>73</v>
      </c>
      <c r="D317" s="4" t="s">
        <v>52</v>
      </c>
      <c r="E317" s="4" t="s">
        <v>59</v>
      </c>
      <c r="F317" s="4" t="s">
        <v>79</v>
      </c>
      <c r="G317" s="4">
        <v>4.0</v>
      </c>
      <c r="H317" s="13">
        <v>359.0</v>
      </c>
      <c r="I317" s="13">
        <v>1436.0</v>
      </c>
      <c r="J317" s="4">
        <v>20.0</v>
      </c>
      <c r="K317" s="13">
        <v>287.0</v>
      </c>
      <c r="L317" s="13">
        <v>1149.0</v>
      </c>
      <c r="M317" s="4" t="s">
        <v>49</v>
      </c>
      <c r="N317" s="4" t="s">
        <v>43</v>
      </c>
      <c r="O317" s="4" t="s">
        <v>44</v>
      </c>
      <c r="P317" s="7"/>
      <c r="Q317" s="7"/>
      <c r="R317" s="7"/>
      <c r="S317" s="7"/>
      <c r="T317" s="7"/>
      <c r="U317" s="7"/>
      <c r="V317" s="7"/>
    </row>
    <row r="318" ht="14.25" customHeight="1">
      <c r="A318" s="4">
        <v>20354.0</v>
      </c>
      <c r="B318" s="11">
        <v>45935.0</v>
      </c>
      <c r="C318" s="4" t="s">
        <v>93</v>
      </c>
      <c r="D318" s="4" t="s">
        <v>25</v>
      </c>
      <c r="E318" s="4" t="s">
        <v>53</v>
      </c>
      <c r="F318" s="4" t="s">
        <v>48</v>
      </c>
      <c r="G318" s="4">
        <v>2.0</v>
      </c>
      <c r="H318" s="13">
        <v>1624.0</v>
      </c>
      <c r="I318" s="13">
        <v>3248.0</v>
      </c>
      <c r="J318" s="4">
        <v>0.0</v>
      </c>
      <c r="K318" s="13">
        <v>0.0</v>
      </c>
      <c r="L318" s="13">
        <v>3248.0</v>
      </c>
      <c r="M318" s="4" t="s">
        <v>87</v>
      </c>
      <c r="N318" s="4" t="s">
        <v>72</v>
      </c>
      <c r="O318" s="4" t="s">
        <v>57</v>
      </c>
      <c r="P318" s="7"/>
      <c r="Q318" s="7"/>
      <c r="R318" s="7"/>
      <c r="S318" s="7"/>
      <c r="T318" s="7"/>
      <c r="U318" s="7"/>
      <c r="V318" s="7"/>
    </row>
    <row r="319" ht="14.25" customHeight="1">
      <c r="A319" s="4">
        <v>20371.0</v>
      </c>
      <c r="B319" s="11">
        <v>45939.0</v>
      </c>
      <c r="C319" s="4" t="s">
        <v>92</v>
      </c>
      <c r="D319" s="4" t="s">
        <v>25</v>
      </c>
      <c r="E319" s="4" t="s">
        <v>53</v>
      </c>
      <c r="F319" s="4" t="s">
        <v>98</v>
      </c>
      <c r="G319" s="4">
        <v>2.0</v>
      </c>
      <c r="H319" s="13">
        <v>703.0</v>
      </c>
      <c r="I319" s="13">
        <v>1406.0</v>
      </c>
      <c r="J319" s="4">
        <v>0.0</v>
      </c>
      <c r="K319" s="13">
        <v>0.0</v>
      </c>
      <c r="L319" s="13">
        <v>1406.0</v>
      </c>
      <c r="M319" s="4" t="s">
        <v>55</v>
      </c>
      <c r="N319" s="4" t="s">
        <v>50</v>
      </c>
      <c r="O319" s="4" t="s">
        <v>57</v>
      </c>
      <c r="P319" s="7"/>
      <c r="Q319" s="7"/>
      <c r="R319" s="7"/>
      <c r="S319" s="7"/>
      <c r="T319" s="7"/>
      <c r="U319" s="7"/>
      <c r="V319" s="7"/>
    </row>
    <row r="320" ht="14.25" customHeight="1">
      <c r="A320" s="4">
        <v>20005.0</v>
      </c>
      <c r="B320" s="11">
        <v>45940.0</v>
      </c>
      <c r="C320" s="4" t="s">
        <v>89</v>
      </c>
      <c r="D320" s="4" t="s">
        <v>46</v>
      </c>
      <c r="E320" s="4" t="s">
        <v>47</v>
      </c>
      <c r="F320" s="4" t="s">
        <v>67</v>
      </c>
      <c r="G320" s="4">
        <v>10.0</v>
      </c>
      <c r="H320" s="13">
        <v>1132.0</v>
      </c>
      <c r="I320" s="13">
        <v>11320.0</v>
      </c>
      <c r="J320" s="4">
        <v>20.0</v>
      </c>
      <c r="K320" s="13">
        <v>2264.0</v>
      </c>
      <c r="L320" s="13">
        <v>9056.0</v>
      </c>
      <c r="M320" s="4" t="s">
        <v>96</v>
      </c>
      <c r="N320" s="4" t="s">
        <v>62</v>
      </c>
      <c r="O320" s="4" t="s">
        <v>69</v>
      </c>
      <c r="P320" s="7"/>
      <c r="Q320" s="7"/>
      <c r="R320" s="7"/>
      <c r="S320" s="7"/>
      <c r="T320" s="7"/>
      <c r="U320" s="7"/>
      <c r="V320" s="7"/>
    </row>
    <row r="321" ht="14.25" customHeight="1">
      <c r="A321" s="4">
        <v>20210.0</v>
      </c>
      <c r="B321" s="11">
        <v>45940.0</v>
      </c>
      <c r="C321" s="4" t="s">
        <v>82</v>
      </c>
      <c r="D321" s="4" t="s">
        <v>52</v>
      </c>
      <c r="E321" s="4" t="s">
        <v>26</v>
      </c>
      <c r="F321" s="4" t="s">
        <v>94</v>
      </c>
      <c r="G321" s="4">
        <v>1.0</v>
      </c>
      <c r="H321" s="13">
        <v>295.0</v>
      </c>
      <c r="I321" s="13">
        <v>295.0</v>
      </c>
      <c r="J321" s="4">
        <v>10.0</v>
      </c>
      <c r="K321" s="13">
        <v>30.0</v>
      </c>
      <c r="L321" s="13">
        <v>265.0</v>
      </c>
      <c r="M321" s="4" t="s">
        <v>71</v>
      </c>
      <c r="N321" s="4" t="s">
        <v>56</v>
      </c>
      <c r="O321" s="4" t="s">
        <v>69</v>
      </c>
      <c r="P321" s="7"/>
      <c r="Q321" s="7"/>
      <c r="R321" s="7"/>
      <c r="S321" s="7"/>
      <c r="T321" s="7"/>
      <c r="U321" s="7"/>
      <c r="V321" s="7"/>
    </row>
    <row r="322" ht="14.25" customHeight="1">
      <c r="A322" s="4">
        <v>20100.0</v>
      </c>
      <c r="B322" s="11">
        <v>45941.0</v>
      </c>
      <c r="C322" s="4" t="s">
        <v>99</v>
      </c>
      <c r="D322" s="4" t="s">
        <v>64</v>
      </c>
      <c r="E322" s="4" t="s">
        <v>47</v>
      </c>
      <c r="F322" s="4" t="s">
        <v>65</v>
      </c>
      <c r="G322" s="4">
        <v>14.0</v>
      </c>
      <c r="H322" s="13">
        <v>210.0</v>
      </c>
      <c r="I322" s="13">
        <v>2940.0</v>
      </c>
      <c r="J322" s="4">
        <v>0.0</v>
      </c>
      <c r="K322" s="13">
        <v>0.0</v>
      </c>
      <c r="L322" s="13">
        <v>2940.0</v>
      </c>
      <c r="M322" s="4" t="s">
        <v>68</v>
      </c>
      <c r="N322" s="4" t="s">
        <v>50</v>
      </c>
      <c r="O322" s="4" t="s">
        <v>57</v>
      </c>
      <c r="P322" s="7"/>
      <c r="Q322" s="7"/>
      <c r="R322" s="7"/>
      <c r="S322" s="7"/>
      <c r="T322" s="7"/>
      <c r="U322" s="7"/>
      <c r="V322" s="7"/>
    </row>
    <row r="323" ht="14.25" customHeight="1">
      <c r="A323" s="4">
        <v>20255.0</v>
      </c>
      <c r="B323" s="11">
        <v>45941.0</v>
      </c>
      <c r="C323" s="4" t="s">
        <v>89</v>
      </c>
      <c r="D323" s="4" t="s">
        <v>46</v>
      </c>
      <c r="E323" s="4" t="s">
        <v>26</v>
      </c>
      <c r="F323" s="4" t="s">
        <v>94</v>
      </c>
      <c r="G323" s="4">
        <v>15.0</v>
      </c>
      <c r="H323" s="13">
        <v>428.0</v>
      </c>
      <c r="I323" s="13">
        <v>6420.0</v>
      </c>
      <c r="J323" s="4">
        <v>0.0</v>
      </c>
      <c r="K323" s="13">
        <v>0.0</v>
      </c>
      <c r="L323" s="13">
        <v>6420.0</v>
      </c>
      <c r="M323" s="4" t="s">
        <v>61</v>
      </c>
      <c r="N323" s="4" t="s">
        <v>72</v>
      </c>
      <c r="O323" s="4" t="s">
        <v>57</v>
      </c>
      <c r="P323" s="7"/>
      <c r="Q323" s="7"/>
      <c r="R323" s="7"/>
      <c r="S323" s="7"/>
      <c r="T323" s="7"/>
      <c r="U323" s="7"/>
      <c r="V323" s="7"/>
    </row>
    <row r="324" ht="14.25" customHeight="1">
      <c r="A324" s="4">
        <v>20108.0</v>
      </c>
      <c r="B324" s="11">
        <v>45942.0</v>
      </c>
      <c r="C324" s="4" t="s">
        <v>93</v>
      </c>
      <c r="D324" s="4" t="s">
        <v>25</v>
      </c>
      <c r="E324" s="4" t="s">
        <v>47</v>
      </c>
      <c r="F324" s="4" t="s">
        <v>103</v>
      </c>
      <c r="G324" s="4">
        <v>9.0</v>
      </c>
      <c r="H324" s="13">
        <v>1647.0</v>
      </c>
      <c r="I324" s="13">
        <v>14823.0</v>
      </c>
      <c r="J324" s="4">
        <v>20.0</v>
      </c>
      <c r="K324" s="13">
        <v>2965.0</v>
      </c>
      <c r="L324" s="13">
        <v>11858.0</v>
      </c>
      <c r="M324" s="4" t="s">
        <v>61</v>
      </c>
      <c r="N324" s="4" t="s">
        <v>62</v>
      </c>
      <c r="O324" s="4" t="s">
        <v>44</v>
      </c>
      <c r="P324" s="7"/>
      <c r="Q324" s="7"/>
      <c r="R324" s="7"/>
      <c r="S324" s="7"/>
      <c r="T324" s="7"/>
      <c r="U324" s="7"/>
      <c r="V324" s="7"/>
    </row>
    <row r="325" ht="14.25" customHeight="1">
      <c r="A325" s="4">
        <v>20341.0</v>
      </c>
      <c r="B325" s="11">
        <v>45943.0</v>
      </c>
      <c r="C325" s="4" t="s">
        <v>93</v>
      </c>
      <c r="D325" s="4" t="s">
        <v>25</v>
      </c>
      <c r="E325" s="4" t="s">
        <v>26</v>
      </c>
      <c r="F325" s="4" t="s">
        <v>94</v>
      </c>
      <c r="G325" s="4">
        <v>15.0</v>
      </c>
      <c r="H325" s="13">
        <v>280.0</v>
      </c>
      <c r="I325" s="13">
        <v>4200.0</v>
      </c>
      <c r="J325" s="4">
        <v>0.0</v>
      </c>
      <c r="K325" s="13">
        <v>0.0</v>
      </c>
      <c r="L325" s="13">
        <v>4200.0</v>
      </c>
      <c r="M325" s="4" t="s">
        <v>42</v>
      </c>
      <c r="N325" s="4" t="s">
        <v>72</v>
      </c>
      <c r="O325" s="4" t="s">
        <v>69</v>
      </c>
      <c r="P325" s="7"/>
      <c r="Q325" s="7"/>
      <c r="R325" s="7"/>
      <c r="S325" s="7"/>
      <c r="T325" s="7"/>
      <c r="U325" s="7"/>
      <c r="V325" s="7"/>
    </row>
    <row r="326" ht="14.25" customHeight="1">
      <c r="A326" s="4">
        <v>20165.0</v>
      </c>
      <c r="B326" s="11">
        <v>45945.0</v>
      </c>
      <c r="C326" s="4" t="s">
        <v>99</v>
      </c>
      <c r="D326" s="4" t="s">
        <v>64</v>
      </c>
      <c r="E326" s="4" t="s">
        <v>53</v>
      </c>
      <c r="F326" s="4" t="s">
        <v>54</v>
      </c>
      <c r="G326" s="4">
        <v>5.0</v>
      </c>
      <c r="H326" s="13">
        <v>1331.0</v>
      </c>
      <c r="I326" s="13">
        <v>6655.0</v>
      </c>
      <c r="J326" s="4">
        <v>0.0</v>
      </c>
      <c r="K326" s="13">
        <v>0.0</v>
      </c>
      <c r="L326" s="13">
        <v>6655.0</v>
      </c>
      <c r="M326" s="4" t="s">
        <v>49</v>
      </c>
      <c r="N326" s="4" t="s">
        <v>56</v>
      </c>
      <c r="O326" s="4" t="s">
        <v>69</v>
      </c>
      <c r="P326" s="7"/>
      <c r="Q326" s="7"/>
      <c r="R326" s="7"/>
      <c r="S326" s="7"/>
      <c r="T326" s="7"/>
      <c r="U326" s="7"/>
      <c r="V326" s="7"/>
    </row>
    <row r="327" ht="14.25" customHeight="1">
      <c r="A327" s="4">
        <v>20285.0</v>
      </c>
      <c r="B327" s="11">
        <v>45946.0</v>
      </c>
      <c r="C327" s="4" t="s">
        <v>76</v>
      </c>
      <c r="D327" s="4" t="s">
        <v>64</v>
      </c>
      <c r="E327" s="4" t="s">
        <v>47</v>
      </c>
      <c r="F327" s="4" t="s">
        <v>65</v>
      </c>
      <c r="G327" s="4">
        <v>14.0</v>
      </c>
      <c r="H327" s="13">
        <v>2207.0</v>
      </c>
      <c r="I327" s="13">
        <v>30898.0</v>
      </c>
      <c r="J327" s="4">
        <v>0.0</v>
      </c>
      <c r="K327" s="13">
        <v>0.0</v>
      </c>
      <c r="L327" s="13">
        <v>30898.0</v>
      </c>
      <c r="M327" s="4" t="s">
        <v>71</v>
      </c>
      <c r="N327" s="4" t="s">
        <v>62</v>
      </c>
      <c r="O327" s="4" t="s">
        <v>69</v>
      </c>
      <c r="P327" s="7"/>
      <c r="Q327" s="7"/>
      <c r="R327" s="7"/>
      <c r="S327" s="7"/>
      <c r="T327" s="7"/>
      <c r="U327" s="7"/>
      <c r="V327" s="7"/>
    </row>
    <row r="328" ht="14.25" customHeight="1">
      <c r="A328" s="4">
        <v>20209.0</v>
      </c>
      <c r="B328" s="11">
        <v>45947.0</v>
      </c>
      <c r="C328" s="4" t="s">
        <v>63</v>
      </c>
      <c r="D328" s="4" t="s">
        <v>64</v>
      </c>
      <c r="E328" s="4" t="s">
        <v>77</v>
      </c>
      <c r="F328" s="4" t="s">
        <v>101</v>
      </c>
      <c r="G328" s="4">
        <v>11.0</v>
      </c>
      <c r="H328" s="13">
        <v>6255.0</v>
      </c>
      <c r="I328" s="13">
        <v>68805.0</v>
      </c>
      <c r="J328" s="4">
        <v>0.0</v>
      </c>
      <c r="K328" s="13">
        <v>0.0</v>
      </c>
      <c r="L328" s="13">
        <v>68805.0</v>
      </c>
      <c r="M328" s="4" t="s">
        <v>61</v>
      </c>
      <c r="N328" s="4" t="s">
        <v>43</v>
      </c>
      <c r="O328" s="4" t="s">
        <v>44</v>
      </c>
      <c r="P328" s="7"/>
      <c r="Q328" s="7"/>
      <c r="R328" s="7"/>
      <c r="S328" s="7"/>
      <c r="T328" s="7"/>
      <c r="U328" s="7"/>
      <c r="V328" s="7"/>
    </row>
    <row r="329" ht="14.25" customHeight="1">
      <c r="A329" s="4">
        <v>20039.0</v>
      </c>
      <c r="B329" s="11">
        <v>45949.0</v>
      </c>
      <c r="C329" s="4" t="s">
        <v>89</v>
      </c>
      <c r="D329" s="4" t="s">
        <v>46</v>
      </c>
      <c r="E329" s="4" t="s">
        <v>59</v>
      </c>
      <c r="F329" s="4" t="s">
        <v>83</v>
      </c>
      <c r="G329" s="4">
        <v>14.0</v>
      </c>
      <c r="H329" s="13">
        <v>167.0</v>
      </c>
      <c r="I329" s="13">
        <v>2338.0</v>
      </c>
      <c r="J329" s="4">
        <v>20.0</v>
      </c>
      <c r="K329" s="13">
        <v>468.0</v>
      </c>
      <c r="L329" s="13">
        <v>1870.0</v>
      </c>
      <c r="M329" s="4" t="s">
        <v>49</v>
      </c>
      <c r="N329" s="4" t="s">
        <v>56</v>
      </c>
      <c r="O329" s="4" t="s">
        <v>57</v>
      </c>
      <c r="P329" s="7"/>
      <c r="Q329" s="7"/>
      <c r="R329" s="7"/>
      <c r="S329" s="7"/>
      <c r="T329" s="7"/>
      <c r="U329" s="7"/>
      <c r="V329" s="7"/>
    </row>
    <row r="330" ht="14.25" customHeight="1">
      <c r="A330" s="4">
        <v>20318.0</v>
      </c>
      <c r="B330" s="11">
        <v>45950.0</v>
      </c>
      <c r="C330" s="4" t="s">
        <v>99</v>
      </c>
      <c r="D330" s="4" t="s">
        <v>64</v>
      </c>
      <c r="E330" s="4" t="s">
        <v>53</v>
      </c>
      <c r="F330" s="4" t="s">
        <v>98</v>
      </c>
      <c r="G330" s="4">
        <v>12.0</v>
      </c>
      <c r="H330" s="13">
        <v>1393.0</v>
      </c>
      <c r="I330" s="13">
        <v>16716.0</v>
      </c>
      <c r="J330" s="4">
        <v>15.0</v>
      </c>
      <c r="K330" s="13">
        <v>2507.0</v>
      </c>
      <c r="L330" s="13">
        <v>14209.0</v>
      </c>
      <c r="M330" s="4" t="s">
        <v>55</v>
      </c>
      <c r="N330" s="4" t="s">
        <v>56</v>
      </c>
      <c r="O330" s="4" t="s">
        <v>44</v>
      </c>
      <c r="P330" s="7"/>
      <c r="Q330" s="7"/>
      <c r="R330" s="7"/>
      <c r="S330" s="7"/>
      <c r="T330" s="7"/>
      <c r="U330" s="7"/>
      <c r="V330" s="7"/>
    </row>
    <row r="331" ht="14.25" customHeight="1">
      <c r="A331" s="4">
        <v>20149.0</v>
      </c>
      <c r="B331" s="11">
        <v>45951.0</v>
      </c>
      <c r="C331" s="4" t="s">
        <v>76</v>
      </c>
      <c r="D331" s="4" t="s">
        <v>64</v>
      </c>
      <c r="E331" s="4" t="s">
        <v>47</v>
      </c>
      <c r="F331" s="4" t="s">
        <v>67</v>
      </c>
      <c r="G331" s="4">
        <v>7.0</v>
      </c>
      <c r="H331" s="13">
        <v>663.0</v>
      </c>
      <c r="I331" s="13">
        <v>4641.0</v>
      </c>
      <c r="J331" s="4">
        <v>0.0</v>
      </c>
      <c r="K331" s="13">
        <v>0.0</v>
      </c>
      <c r="L331" s="13">
        <v>4641.0</v>
      </c>
      <c r="M331" s="4" t="s">
        <v>68</v>
      </c>
      <c r="N331" s="4" t="s">
        <v>43</v>
      </c>
      <c r="O331" s="4" t="s">
        <v>57</v>
      </c>
      <c r="P331" s="7"/>
      <c r="Q331" s="7"/>
      <c r="R331" s="7"/>
      <c r="S331" s="7"/>
      <c r="T331" s="7"/>
      <c r="U331" s="7"/>
      <c r="V331" s="7"/>
    </row>
    <row r="332" ht="14.25" customHeight="1">
      <c r="A332" s="4">
        <v>20402.0</v>
      </c>
      <c r="B332" s="11">
        <v>45952.0</v>
      </c>
      <c r="C332" s="4" t="s">
        <v>66</v>
      </c>
      <c r="D332" s="4" t="s">
        <v>46</v>
      </c>
      <c r="E332" s="4" t="s">
        <v>59</v>
      </c>
      <c r="F332" s="4" t="s">
        <v>86</v>
      </c>
      <c r="G332" s="4">
        <v>10.0</v>
      </c>
      <c r="H332" s="13">
        <v>447.0</v>
      </c>
      <c r="I332" s="13">
        <v>4470.0</v>
      </c>
      <c r="J332" s="4">
        <v>20.0</v>
      </c>
      <c r="K332" s="13">
        <v>894.0</v>
      </c>
      <c r="L332" s="13">
        <v>3576.0</v>
      </c>
      <c r="M332" s="4" t="s">
        <v>42</v>
      </c>
      <c r="N332" s="4" t="s">
        <v>43</v>
      </c>
      <c r="O332" s="4" t="s">
        <v>57</v>
      </c>
      <c r="P332" s="7"/>
      <c r="Q332" s="7"/>
      <c r="R332" s="7"/>
      <c r="S332" s="7"/>
      <c r="T332" s="7"/>
      <c r="U332" s="7"/>
      <c r="V332" s="7"/>
    </row>
    <row r="333" ht="14.25" customHeight="1">
      <c r="A333" s="4">
        <v>20416.0</v>
      </c>
      <c r="B333" s="11">
        <v>45952.0</v>
      </c>
      <c r="C333" s="4" t="s">
        <v>80</v>
      </c>
      <c r="D333" s="4" t="s">
        <v>64</v>
      </c>
      <c r="E333" s="4" t="s">
        <v>53</v>
      </c>
      <c r="F333" s="4" t="s">
        <v>95</v>
      </c>
      <c r="G333" s="4">
        <v>6.0</v>
      </c>
      <c r="H333" s="13">
        <v>1885.0</v>
      </c>
      <c r="I333" s="13">
        <v>11310.0</v>
      </c>
      <c r="J333" s="4">
        <v>0.0</v>
      </c>
      <c r="K333" s="13">
        <v>0.0</v>
      </c>
      <c r="L333" s="13">
        <v>11310.0</v>
      </c>
      <c r="M333" s="4" t="s">
        <v>61</v>
      </c>
      <c r="N333" s="4" t="s">
        <v>56</v>
      </c>
      <c r="O333" s="4" t="s">
        <v>44</v>
      </c>
      <c r="P333" s="7"/>
      <c r="Q333" s="7"/>
      <c r="R333" s="7"/>
      <c r="S333" s="7"/>
      <c r="T333" s="7"/>
      <c r="U333" s="7"/>
      <c r="V333" s="7"/>
    </row>
    <row r="334" ht="14.25" customHeight="1">
      <c r="A334" s="4">
        <v>20170.0</v>
      </c>
      <c r="B334" s="11">
        <v>45954.0</v>
      </c>
      <c r="C334" s="4" t="s">
        <v>63</v>
      </c>
      <c r="D334" s="4" t="s">
        <v>64</v>
      </c>
      <c r="E334" s="4" t="s">
        <v>26</v>
      </c>
      <c r="F334" s="4" t="s">
        <v>70</v>
      </c>
      <c r="G334" s="4">
        <v>8.0</v>
      </c>
      <c r="H334" s="13">
        <v>294.0</v>
      </c>
      <c r="I334" s="13">
        <v>2352.0</v>
      </c>
      <c r="J334" s="4">
        <v>0.0</v>
      </c>
      <c r="K334" s="13">
        <v>0.0</v>
      </c>
      <c r="L334" s="13">
        <v>2352.0</v>
      </c>
      <c r="M334" s="4" t="s">
        <v>106</v>
      </c>
      <c r="N334" s="4" t="s">
        <v>62</v>
      </c>
      <c r="O334" s="4" t="s">
        <v>57</v>
      </c>
      <c r="P334" s="7"/>
      <c r="Q334" s="7"/>
      <c r="R334" s="7"/>
      <c r="S334" s="7"/>
      <c r="T334" s="7"/>
      <c r="U334" s="7"/>
      <c r="V334" s="7"/>
    </row>
    <row r="335" ht="14.25" customHeight="1">
      <c r="A335" s="4">
        <v>20157.0</v>
      </c>
      <c r="B335" s="11">
        <v>45955.0</v>
      </c>
      <c r="C335" s="4" t="s">
        <v>76</v>
      </c>
      <c r="D335" s="4" t="s">
        <v>64</v>
      </c>
      <c r="E335" s="4" t="s">
        <v>77</v>
      </c>
      <c r="F335" s="4" t="s">
        <v>105</v>
      </c>
      <c r="G335" s="4">
        <v>10.0</v>
      </c>
      <c r="H335" s="13">
        <v>7802.0</v>
      </c>
      <c r="I335" s="13">
        <v>78020.0</v>
      </c>
      <c r="J335" s="4">
        <v>0.0</v>
      </c>
      <c r="K335" s="13">
        <v>0.0</v>
      </c>
      <c r="L335" s="13">
        <v>78020.0</v>
      </c>
      <c r="M335" s="4" t="s">
        <v>81</v>
      </c>
      <c r="N335" s="4" t="s">
        <v>56</v>
      </c>
      <c r="O335" s="4" t="s">
        <v>44</v>
      </c>
      <c r="P335" s="7"/>
      <c r="Q335" s="7"/>
      <c r="R335" s="7"/>
      <c r="S335" s="7"/>
      <c r="T335" s="7"/>
      <c r="U335" s="7"/>
      <c r="V335" s="7"/>
    </row>
    <row r="336" ht="14.25" customHeight="1">
      <c r="A336" s="4">
        <v>20387.0</v>
      </c>
      <c r="B336" s="11">
        <v>45956.0</v>
      </c>
      <c r="C336" s="4" t="s">
        <v>80</v>
      </c>
      <c r="D336" s="4" t="s">
        <v>64</v>
      </c>
      <c r="E336" s="4" t="s">
        <v>47</v>
      </c>
      <c r="F336" s="4" t="s">
        <v>103</v>
      </c>
      <c r="G336" s="4">
        <v>5.0</v>
      </c>
      <c r="H336" s="13">
        <v>2056.0</v>
      </c>
      <c r="I336" s="13">
        <v>10280.0</v>
      </c>
      <c r="J336" s="4">
        <v>10.0</v>
      </c>
      <c r="K336" s="13">
        <v>1028.0</v>
      </c>
      <c r="L336" s="13">
        <v>9252.0</v>
      </c>
      <c r="M336" s="4" t="s">
        <v>49</v>
      </c>
      <c r="N336" s="4" t="s">
        <v>62</v>
      </c>
      <c r="O336" s="4" t="s">
        <v>69</v>
      </c>
      <c r="P336" s="7"/>
      <c r="Q336" s="7"/>
      <c r="R336" s="7"/>
      <c r="S336" s="7"/>
      <c r="T336" s="7"/>
      <c r="U336" s="7"/>
      <c r="V336" s="7"/>
    </row>
    <row r="337" ht="14.25" customHeight="1">
      <c r="A337" s="4">
        <v>20283.0</v>
      </c>
      <c r="B337" s="11">
        <v>45957.0</v>
      </c>
      <c r="C337" s="4" t="s">
        <v>63</v>
      </c>
      <c r="D337" s="4" t="s">
        <v>64</v>
      </c>
      <c r="E337" s="4" t="s">
        <v>77</v>
      </c>
      <c r="F337" s="4" t="s">
        <v>90</v>
      </c>
      <c r="G337" s="4">
        <v>4.0</v>
      </c>
      <c r="H337" s="13">
        <v>3083.0</v>
      </c>
      <c r="I337" s="13">
        <v>12332.0</v>
      </c>
      <c r="J337" s="4">
        <v>20.0</v>
      </c>
      <c r="K337" s="13">
        <v>2466.0</v>
      </c>
      <c r="L337" s="13">
        <v>9866.0</v>
      </c>
      <c r="M337" s="4" t="s">
        <v>106</v>
      </c>
      <c r="N337" s="4" t="s">
        <v>56</v>
      </c>
      <c r="O337" s="4" t="s">
        <v>44</v>
      </c>
      <c r="P337" s="7"/>
      <c r="Q337" s="7"/>
      <c r="R337" s="7"/>
      <c r="S337" s="7"/>
      <c r="T337" s="7"/>
      <c r="U337" s="7"/>
      <c r="V337" s="7"/>
    </row>
    <row r="338" ht="14.25" customHeight="1">
      <c r="A338" s="4">
        <v>20234.0</v>
      </c>
      <c r="B338" s="11">
        <v>45958.0</v>
      </c>
      <c r="C338" s="4" t="s">
        <v>58</v>
      </c>
      <c r="D338" s="4" t="s">
        <v>25</v>
      </c>
      <c r="E338" s="4" t="s">
        <v>53</v>
      </c>
      <c r="F338" s="4" t="s">
        <v>95</v>
      </c>
      <c r="G338" s="4">
        <v>14.0</v>
      </c>
      <c r="H338" s="13">
        <v>652.0</v>
      </c>
      <c r="I338" s="13">
        <v>9128.0</v>
      </c>
      <c r="J338" s="4">
        <v>10.0</v>
      </c>
      <c r="K338" s="13">
        <v>913.0</v>
      </c>
      <c r="L338" s="13">
        <v>8215.0</v>
      </c>
      <c r="M338" s="4" t="s">
        <v>49</v>
      </c>
      <c r="N338" s="4" t="s">
        <v>62</v>
      </c>
      <c r="O338" s="4" t="s">
        <v>57</v>
      </c>
      <c r="P338" s="7"/>
      <c r="Q338" s="7"/>
      <c r="R338" s="7"/>
      <c r="S338" s="7"/>
      <c r="T338" s="7"/>
      <c r="U338" s="7"/>
      <c r="V338" s="7"/>
    </row>
    <row r="339" ht="14.25" customHeight="1">
      <c r="A339" s="4">
        <v>20419.0</v>
      </c>
      <c r="B339" s="11">
        <v>45958.0</v>
      </c>
      <c r="C339" s="4" t="s">
        <v>73</v>
      </c>
      <c r="D339" s="4" t="s">
        <v>52</v>
      </c>
      <c r="E339" s="4" t="s">
        <v>59</v>
      </c>
      <c r="F339" s="4" t="s">
        <v>60</v>
      </c>
      <c r="G339" s="4">
        <v>3.0</v>
      </c>
      <c r="H339" s="13">
        <v>180.0</v>
      </c>
      <c r="I339" s="13">
        <v>540.0</v>
      </c>
      <c r="J339" s="4">
        <v>15.0</v>
      </c>
      <c r="K339" s="13">
        <v>81.0</v>
      </c>
      <c r="L339" s="13">
        <v>459.0</v>
      </c>
      <c r="M339" s="4" t="s">
        <v>71</v>
      </c>
      <c r="N339" s="4" t="s">
        <v>50</v>
      </c>
      <c r="O339" s="4" t="s">
        <v>69</v>
      </c>
      <c r="P339" s="7"/>
      <c r="Q339" s="7"/>
      <c r="R339" s="7"/>
      <c r="S339" s="7"/>
      <c r="T339" s="7"/>
      <c r="U339" s="7"/>
      <c r="V339" s="7"/>
    </row>
    <row r="340" ht="14.25" customHeight="1">
      <c r="A340" s="4">
        <v>20017.0</v>
      </c>
      <c r="B340" s="11">
        <v>45959.0</v>
      </c>
      <c r="C340" s="4" t="s">
        <v>63</v>
      </c>
      <c r="D340" s="4" t="s">
        <v>64</v>
      </c>
      <c r="E340" s="4" t="s">
        <v>26</v>
      </c>
      <c r="F340" s="4" t="s">
        <v>104</v>
      </c>
      <c r="G340" s="4">
        <v>12.0</v>
      </c>
      <c r="H340" s="13">
        <v>180.0</v>
      </c>
      <c r="I340" s="13">
        <v>2160.0</v>
      </c>
      <c r="J340" s="4">
        <v>0.0</v>
      </c>
      <c r="K340" s="13">
        <v>0.0</v>
      </c>
      <c r="L340" s="13">
        <v>2160.0</v>
      </c>
      <c r="M340" s="4" t="s">
        <v>87</v>
      </c>
      <c r="N340" s="4" t="s">
        <v>50</v>
      </c>
      <c r="O340" s="4" t="s">
        <v>44</v>
      </c>
      <c r="P340" s="7"/>
      <c r="Q340" s="7"/>
      <c r="R340" s="7"/>
      <c r="S340" s="7"/>
      <c r="T340" s="7"/>
      <c r="U340" s="7"/>
      <c r="V340" s="7"/>
    </row>
    <row r="341" ht="14.25" customHeight="1">
      <c r="A341" s="4">
        <v>20070.0</v>
      </c>
      <c r="B341" s="11">
        <v>45959.0</v>
      </c>
      <c r="C341" s="4" t="s">
        <v>99</v>
      </c>
      <c r="D341" s="4" t="s">
        <v>64</v>
      </c>
      <c r="E341" s="4" t="s">
        <v>59</v>
      </c>
      <c r="F341" s="4" t="s">
        <v>79</v>
      </c>
      <c r="G341" s="4">
        <v>9.0</v>
      </c>
      <c r="H341" s="13">
        <v>196.0</v>
      </c>
      <c r="I341" s="13">
        <v>1764.0</v>
      </c>
      <c r="J341" s="4">
        <v>0.0</v>
      </c>
      <c r="K341" s="13">
        <v>0.0</v>
      </c>
      <c r="L341" s="13">
        <v>1764.0</v>
      </c>
      <c r="M341" s="4" t="s">
        <v>81</v>
      </c>
      <c r="N341" s="4" t="s">
        <v>50</v>
      </c>
      <c r="O341" s="4" t="s">
        <v>44</v>
      </c>
      <c r="P341" s="7"/>
      <c r="Q341" s="7"/>
      <c r="R341" s="7"/>
      <c r="S341" s="7"/>
      <c r="T341" s="7"/>
      <c r="U341" s="7"/>
      <c r="V341" s="7"/>
    </row>
    <row r="342" ht="14.25" customHeight="1">
      <c r="A342" s="4">
        <v>20326.0</v>
      </c>
      <c r="B342" s="11">
        <v>45959.0</v>
      </c>
      <c r="C342" s="4" t="s">
        <v>89</v>
      </c>
      <c r="D342" s="4" t="s">
        <v>46</v>
      </c>
      <c r="E342" s="4" t="s">
        <v>77</v>
      </c>
      <c r="F342" s="4" t="s">
        <v>90</v>
      </c>
      <c r="G342" s="4">
        <v>14.0</v>
      </c>
      <c r="H342" s="13">
        <v>3342.0</v>
      </c>
      <c r="I342" s="13">
        <v>46788.0</v>
      </c>
      <c r="J342" s="4">
        <v>10.0</v>
      </c>
      <c r="K342" s="13">
        <v>4679.0</v>
      </c>
      <c r="L342" s="13">
        <v>42109.0</v>
      </c>
      <c r="M342" s="4" t="s">
        <v>87</v>
      </c>
      <c r="N342" s="4" t="s">
        <v>72</v>
      </c>
      <c r="O342" s="4" t="s">
        <v>44</v>
      </c>
      <c r="P342" s="7"/>
      <c r="Q342" s="7"/>
      <c r="R342" s="7"/>
      <c r="S342" s="7"/>
      <c r="T342" s="7"/>
      <c r="U342" s="7"/>
      <c r="V342" s="7"/>
    </row>
    <row r="343" ht="14.25" customHeight="1">
      <c r="A343" s="4">
        <v>20391.0</v>
      </c>
      <c r="B343" s="11">
        <v>45959.0</v>
      </c>
      <c r="C343" s="4" t="s">
        <v>58</v>
      </c>
      <c r="D343" s="4" t="s">
        <v>25</v>
      </c>
      <c r="E343" s="4" t="s">
        <v>59</v>
      </c>
      <c r="F343" s="4" t="s">
        <v>60</v>
      </c>
      <c r="G343" s="4">
        <v>5.0</v>
      </c>
      <c r="H343" s="13">
        <v>102.0</v>
      </c>
      <c r="I343" s="13">
        <v>510.0</v>
      </c>
      <c r="J343" s="4">
        <v>10.0</v>
      </c>
      <c r="K343" s="13">
        <v>51.0</v>
      </c>
      <c r="L343" s="13">
        <v>459.0</v>
      </c>
      <c r="M343" s="4" t="s">
        <v>87</v>
      </c>
      <c r="N343" s="4" t="s">
        <v>43</v>
      </c>
      <c r="O343" s="4" t="s">
        <v>44</v>
      </c>
      <c r="P343" s="7"/>
      <c r="Q343" s="7"/>
      <c r="R343" s="7"/>
      <c r="S343" s="7"/>
      <c r="T343" s="7"/>
      <c r="U343" s="7"/>
      <c r="V343" s="7"/>
    </row>
    <row r="344" ht="14.25" customHeight="1">
      <c r="A344" s="4">
        <v>20024.0</v>
      </c>
      <c r="B344" s="11">
        <v>45962.0</v>
      </c>
      <c r="C344" s="4" t="s">
        <v>92</v>
      </c>
      <c r="D344" s="4" t="s">
        <v>25</v>
      </c>
      <c r="E344" s="4" t="s">
        <v>77</v>
      </c>
      <c r="F344" s="4" t="s">
        <v>110</v>
      </c>
      <c r="G344" s="4">
        <v>2.0</v>
      </c>
      <c r="H344" s="13">
        <v>5642.0</v>
      </c>
      <c r="I344" s="13">
        <v>11284.0</v>
      </c>
      <c r="J344" s="4">
        <v>5.0</v>
      </c>
      <c r="K344" s="13">
        <v>564.0</v>
      </c>
      <c r="L344" s="13">
        <v>10720.0</v>
      </c>
      <c r="M344" s="4" t="s">
        <v>49</v>
      </c>
      <c r="N344" s="4" t="s">
        <v>56</v>
      </c>
      <c r="O344" s="4" t="s">
        <v>57</v>
      </c>
      <c r="P344" s="7"/>
      <c r="Q344" s="7"/>
      <c r="R344" s="7"/>
      <c r="S344" s="7"/>
      <c r="T344" s="7"/>
      <c r="U344" s="7"/>
      <c r="V344" s="7"/>
    </row>
    <row r="345" ht="14.25" customHeight="1">
      <c r="A345" s="4">
        <v>20044.0</v>
      </c>
      <c r="B345" s="11">
        <v>45962.0</v>
      </c>
      <c r="C345" s="4" t="s">
        <v>84</v>
      </c>
      <c r="D345" s="4" t="s">
        <v>46</v>
      </c>
      <c r="E345" s="4" t="s">
        <v>59</v>
      </c>
      <c r="F345" s="4" t="s">
        <v>83</v>
      </c>
      <c r="G345" s="4">
        <v>14.0</v>
      </c>
      <c r="H345" s="13">
        <v>288.0</v>
      </c>
      <c r="I345" s="13">
        <v>4032.0</v>
      </c>
      <c r="J345" s="4">
        <v>15.0</v>
      </c>
      <c r="K345" s="13">
        <v>605.0</v>
      </c>
      <c r="L345" s="13">
        <v>3427.0</v>
      </c>
      <c r="M345" s="4" t="s">
        <v>42</v>
      </c>
      <c r="N345" s="4" t="s">
        <v>43</v>
      </c>
      <c r="O345" s="4" t="s">
        <v>44</v>
      </c>
      <c r="P345" s="7"/>
      <c r="Q345" s="7"/>
      <c r="R345" s="7"/>
      <c r="S345" s="7"/>
      <c r="T345" s="7"/>
      <c r="U345" s="7"/>
      <c r="V345" s="7"/>
    </row>
    <row r="346" ht="14.25" customHeight="1">
      <c r="A346" s="4">
        <v>20071.0</v>
      </c>
      <c r="B346" s="11">
        <v>45962.0</v>
      </c>
      <c r="C346" s="4" t="s">
        <v>89</v>
      </c>
      <c r="D346" s="4" t="s">
        <v>46</v>
      </c>
      <c r="E346" s="4" t="s">
        <v>59</v>
      </c>
      <c r="F346" s="4" t="s">
        <v>79</v>
      </c>
      <c r="G346" s="4">
        <v>8.0</v>
      </c>
      <c r="H346" s="13">
        <v>199.0</v>
      </c>
      <c r="I346" s="13">
        <v>1592.0</v>
      </c>
      <c r="J346" s="4">
        <v>10.0</v>
      </c>
      <c r="K346" s="13">
        <v>159.0</v>
      </c>
      <c r="L346" s="13">
        <v>1433.0</v>
      </c>
      <c r="M346" s="4" t="s">
        <v>42</v>
      </c>
      <c r="N346" s="4" t="s">
        <v>43</v>
      </c>
      <c r="O346" s="4" t="s">
        <v>69</v>
      </c>
      <c r="P346" s="7"/>
      <c r="Q346" s="7"/>
      <c r="R346" s="7"/>
      <c r="S346" s="7"/>
      <c r="T346" s="7"/>
      <c r="U346" s="7"/>
      <c r="V346" s="7"/>
    </row>
    <row r="347" ht="14.25" customHeight="1">
      <c r="A347" s="4">
        <v>20128.0</v>
      </c>
      <c r="B347" s="11">
        <v>45962.0</v>
      </c>
      <c r="C347" s="4" t="s">
        <v>92</v>
      </c>
      <c r="D347" s="4" t="s">
        <v>25</v>
      </c>
      <c r="E347" s="4" t="s">
        <v>53</v>
      </c>
      <c r="F347" s="4" t="s">
        <v>54</v>
      </c>
      <c r="G347" s="4">
        <v>7.0</v>
      </c>
      <c r="H347" s="13">
        <v>560.0</v>
      </c>
      <c r="I347" s="13">
        <v>3920.0</v>
      </c>
      <c r="J347" s="4">
        <v>0.0</v>
      </c>
      <c r="K347" s="13">
        <v>0.0</v>
      </c>
      <c r="L347" s="13">
        <v>3920.0</v>
      </c>
      <c r="M347" s="4" t="s">
        <v>61</v>
      </c>
      <c r="N347" s="4" t="s">
        <v>56</v>
      </c>
      <c r="O347" s="4" t="s">
        <v>44</v>
      </c>
      <c r="P347" s="7"/>
      <c r="Q347" s="7"/>
      <c r="R347" s="7"/>
      <c r="S347" s="7"/>
      <c r="T347" s="7"/>
      <c r="U347" s="7"/>
      <c r="V347" s="7"/>
    </row>
    <row r="348" ht="14.25" customHeight="1">
      <c r="A348" s="4">
        <v>20036.0</v>
      </c>
      <c r="B348" s="11">
        <v>45963.0</v>
      </c>
      <c r="C348" s="4" t="s">
        <v>24</v>
      </c>
      <c r="D348" s="4" t="s">
        <v>52</v>
      </c>
      <c r="E348" s="4" t="s">
        <v>53</v>
      </c>
      <c r="F348" s="4" t="s">
        <v>98</v>
      </c>
      <c r="G348" s="4">
        <v>13.0</v>
      </c>
      <c r="H348" s="13">
        <v>1540.0</v>
      </c>
      <c r="I348" s="13">
        <v>20020.0</v>
      </c>
      <c r="J348" s="4">
        <v>5.0</v>
      </c>
      <c r="K348" s="13">
        <v>1001.0</v>
      </c>
      <c r="L348" s="13">
        <v>19019.0</v>
      </c>
      <c r="M348" s="4" t="s">
        <v>49</v>
      </c>
      <c r="N348" s="4" t="s">
        <v>50</v>
      </c>
      <c r="O348" s="4" t="s">
        <v>44</v>
      </c>
      <c r="P348" s="7"/>
      <c r="Q348" s="7"/>
      <c r="R348" s="7"/>
      <c r="S348" s="7"/>
      <c r="T348" s="7"/>
      <c r="U348" s="7"/>
      <c r="V348" s="7"/>
    </row>
    <row r="349" ht="14.25" customHeight="1">
      <c r="A349" s="4">
        <v>20072.0</v>
      </c>
      <c r="B349" s="11">
        <v>45964.0</v>
      </c>
      <c r="C349" s="4" t="s">
        <v>93</v>
      </c>
      <c r="D349" s="4" t="s">
        <v>25</v>
      </c>
      <c r="E349" s="4" t="s">
        <v>59</v>
      </c>
      <c r="F349" s="4" t="s">
        <v>85</v>
      </c>
      <c r="G349" s="4">
        <v>10.0</v>
      </c>
      <c r="H349" s="13">
        <v>177.0</v>
      </c>
      <c r="I349" s="13">
        <v>1770.0</v>
      </c>
      <c r="J349" s="4">
        <v>20.0</v>
      </c>
      <c r="K349" s="13">
        <v>354.0</v>
      </c>
      <c r="L349" s="13">
        <v>1416.0</v>
      </c>
      <c r="M349" s="4" t="s">
        <v>96</v>
      </c>
      <c r="N349" s="4" t="s">
        <v>56</v>
      </c>
      <c r="O349" s="4" t="s">
        <v>69</v>
      </c>
      <c r="P349" s="7"/>
      <c r="Q349" s="7"/>
      <c r="R349" s="7"/>
      <c r="S349" s="7"/>
      <c r="T349" s="7"/>
      <c r="U349" s="7"/>
      <c r="V349" s="7"/>
    </row>
    <row r="350" ht="14.25" customHeight="1">
      <c r="A350" s="4">
        <v>20109.0</v>
      </c>
      <c r="B350" s="11">
        <v>45965.0</v>
      </c>
      <c r="C350" s="4" t="s">
        <v>89</v>
      </c>
      <c r="D350" s="4" t="s">
        <v>46</v>
      </c>
      <c r="E350" s="4" t="s">
        <v>53</v>
      </c>
      <c r="F350" s="4" t="s">
        <v>102</v>
      </c>
      <c r="G350" s="4">
        <v>10.0</v>
      </c>
      <c r="H350" s="13">
        <v>615.0</v>
      </c>
      <c r="I350" s="13">
        <v>6150.0</v>
      </c>
      <c r="J350" s="4">
        <v>0.0</v>
      </c>
      <c r="K350" s="13">
        <v>0.0</v>
      </c>
      <c r="L350" s="13">
        <v>6150.0</v>
      </c>
      <c r="M350" s="4" t="s">
        <v>71</v>
      </c>
      <c r="N350" s="4" t="s">
        <v>72</v>
      </c>
      <c r="O350" s="4" t="s">
        <v>57</v>
      </c>
      <c r="P350" s="7"/>
      <c r="Q350" s="7"/>
      <c r="R350" s="7"/>
      <c r="S350" s="7"/>
      <c r="T350" s="7"/>
      <c r="U350" s="7"/>
      <c r="V350" s="7"/>
    </row>
    <row r="351" ht="14.25" customHeight="1">
      <c r="A351" s="4">
        <v>20286.0</v>
      </c>
      <c r="B351" s="11">
        <v>45966.0</v>
      </c>
      <c r="C351" s="4" t="s">
        <v>63</v>
      </c>
      <c r="D351" s="4" t="s">
        <v>64</v>
      </c>
      <c r="E351" s="4" t="s">
        <v>26</v>
      </c>
      <c r="F351" s="4" t="s">
        <v>70</v>
      </c>
      <c r="G351" s="4">
        <v>8.0</v>
      </c>
      <c r="H351" s="13">
        <v>120.0</v>
      </c>
      <c r="I351" s="13">
        <v>960.0</v>
      </c>
      <c r="J351" s="4">
        <v>0.0</v>
      </c>
      <c r="K351" s="13">
        <v>0.0</v>
      </c>
      <c r="L351" s="13">
        <v>960.0</v>
      </c>
      <c r="M351" s="4" t="s">
        <v>68</v>
      </c>
      <c r="N351" s="4" t="s">
        <v>72</v>
      </c>
      <c r="O351" s="4" t="s">
        <v>69</v>
      </c>
      <c r="P351" s="7"/>
      <c r="Q351" s="7"/>
      <c r="R351" s="7"/>
      <c r="S351" s="7"/>
      <c r="T351" s="7"/>
      <c r="U351" s="7"/>
      <c r="V351" s="7"/>
    </row>
    <row r="352" ht="14.25" customHeight="1">
      <c r="A352" s="4">
        <v>20344.0</v>
      </c>
      <c r="B352" s="11">
        <v>45967.0</v>
      </c>
      <c r="C352" s="4" t="s">
        <v>89</v>
      </c>
      <c r="D352" s="4" t="s">
        <v>46</v>
      </c>
      <c r="E352" s="4" t="s">
        <v>47</v>
      </c>
      <c r="F352" s="4" t="s">
        <v>103</v>
      </c>
      <c r="G352" s="4">
        <v>4.0</v>
      </c>
      <c r="H352" s="13">
        <v>1112.0</v>
      </c>
      <c r="I352" s="13">
        <v>4448.0</v>
      </c>
      <c r="J352" s="4">
        <v>20.0</v>
      </c>
      <c r="K352" s="13">
        <v>890.0</v>
      </c>
      <c r="L352" s="13">
        <v>3558.0</v>
      </c>
      <c r="M352" s="4" t="s">
        <v>42</v>
      </c>
      <c r="N352" s="4" t="s">
        <v>72</v>
      </c>
      <c r="O352" s="4" t="s">
        <v>57</v>
      </c>
      <c r="P352" s="7"/>
      <c r="Q352" s="7"/>
      <c r="R352" s="7"/>
      <c r="S352" s="7"/>
      <c r="T352" s="7"/>
      <c r="U352" s="7"/>
      <c r="V352" s="7"/>
    </row>
    <row r="353" ht="14.25" customHeight="1">
      <c r="A353" s="4">
        <v>20054.0</v>
      </c>
      <c r="B353" s="11">
        <v>45968.0</v>
      </c>
      <c r="C353" s="4" t="s">
        <v>58</v>
      </c>
      <c r="D353" s="4" t="s">
        <v>25</v>
      </c>
      <c r="E353" s="4" t="s">
        <v>77</v>
      </c>
      <c r="F353" s="4" t="s">
        <v>101</v>
      </c>
      <c r="G353" s="4">
        <v>2.0</v>
      </c>
      <c r="H353" s="13">
        <v>3455.0</v>
      </c>
      <c r="I353" s="13">
        <v>6910.0</v>
      </c>
      <c r="J353" s="4">
        <v>5.0</v>
      </c>
      <c r="K353" s="13">
        <v>346.0</v>
      </c>
      <c r="L353" s="13">
        <v>6564.0</v>
      </c>
      <c r="M353" s="4" t="s">
        <v>106</v>
      </c>
      <c r="N353" s="4" t="s">
        <v>62</v>
      </c>
      <c r="O353" s="4" t="s">
        <v>57</v>
      </c>
      <c r="P353" s="7"/>
      <c r="Q353" s="7"/>
      <c r="R353" s="7"/>
      <c r="S353" s="7"/>
      <c r="T353" s="7"/>
      <c r="U353" s="7"/>
      <c r="V353" s="7"/>
    </row>
    <row r="354" ht="14.25" customHeight="1">
      <c r="A354" s="4">
        <v>20375.0</v>
      </c>
      <c r="B354" s="11">
        <v>45968.0</v>
      </c>
      <c r="C354" s="4" t="s">
        <v>92</v>
      </c>
      <c r="D354" s="4" t="s">
        <v>25</v>
      </c>
      <c r="E354" s="4" t="s">
        <v>53</v>
      </c>
      <c r="F354" s="4" t="s">
        <v>75</v>
      </c>
      <c r="G354" s="4">
        <v>15.0</v>
      </c>
      <c r="H354" s="13">
        <v>1801.0</v>
      </c>
      <c r="I354" s="13">
        <v>27015.0</v>
      </c>
      <c r="J354" s="4">
        <v>15.0</v>
      </c>
      <c r="K354" s="13">
        <v>4052.0</v>
      </c>
      <c r="L354" s="13">
        <v>22963.0</v>
      </c>
      <c r="M354" s="4" t="s">
        <v>71</v>
      </c>
      <c r="N354" s="4" t="s">
        <v>62</v>
      </c>
      <c r="O354" s="4" t="s">
        <v>57</v>
      </c>
      <c r="P354" s="7"/>
      <c r="Q354" s="7"/>
      <c r="R354" s="7"/>
      <c r="S354" s="7"/>
      <c r="T354" s="7"/>
      <c r="U354" s="7"/>
      <c r="V354" s="7"/>
    </row>
    <row r="355" ht="14.25" customHeight="1">
      <c r="A355" s="4">
        <v>20137.0</v>
      </c>
      <c r="B355" s="11">
        <v>45969.0</v>
      </c>
      <c r="C355" s="4" t="s">
        <v>24</v>
      </c>
      <c r="D355" s="4" t="s">
        <v>52</v>
      </c>
      <c r="E355" s="4" t="s">
        <v>26</v>
      </c>
      <c r="F355" s="4" t="s">
        <v>74</v>
      </c>
      <c r="G355" s="4">
        <v>4.0</v>
      </c>
      <c r="H355" s="13">
        <v>428.0</v>
      </c>
      <c r="I355" s="13">
        <v>1712.0</v>
      </c>
      <c r="J355" s="4">
        <v>15.0</v>
      </c>
      <c r="K355" s="13">
        <v>257.0</v>
      </c>
      <c r="L355" s="13">
        <v>1455.0</v>
      </c>
      <c r="M355" s="4" t="s">
        <v>49</v>
      </c>
      <c r="N355" s="4" t="s">
        <v>43</v>
      </c>
      <c r="O355" s="4" t="s">
        <v>69</v>
      </c>
      <c r="P355" s="7"/>
      <c r="Q355" s="7"/>
      <c r="R355" s="7"/>
      <c r="S355" s="7"/>
      <c r="T355" s="7"/>
      <c r="U355" s="7"/>
      <c r="V355" s="7"/>
    </row>
    <row r="356" ht="14.25" customHeight="1">
      <c r="A356" s="4">
        <v>20314.0</v>
      </c>
      <c r="B356" s="11">
        <v>45969.0</v>
      </c>
      <c r="C356" s="4" t="s">
        <v>89</v>
      </c>
      <c r="D356" s="4" t="s">
        <v>46</v>
      </c>
      <c r="E356" s="4" t="s">
        <v>53</v>
      </c>
      <c r="F356" s="4" t="s">
        <v>48</v>
      </c>
      <c r="G356" s="4">
        <v>15.0</v>
      </c>
      <c r="H356" s="13">
        <v>1013.0</v>
      </c>
      <c r="I356" s="13">
        <v>15195.0</v>
      </c>
      <c r="J356" s="4">
        <v>0.0</v>
      </c>
      <c r="K356" s="13">
        <v>0.0</v>
      </c>
      <c r="L356" s="13">
        <v>15195.0</v>
      </c>
      <c r="M356" s="4" t="s">
        <v>42</v>
      </c>
      <c r="N356" s="4" t="s">
        <v>72</v>
      </c>
      <c r="O356" s="4" t="s">
        <v>57</v>
      </c>
      <c r="P356" s="7"/>
      <c r="Q356" s="7"/>
      <c r="R356" s="7"/>
      <c r="S356" s="7"/>
      <c r="T356" s="7"/>
      <c r="U356" s="7"/>
      <c r="V356" s="7"/>
    </row>
    <row r="357" ht="14.25" customHeight="1">
      <c r="A357" s="4">
        <v>20214.0</v>
      </c>
      <c r="B357" s="11">
        <v>45972.0</v>
      </c>
      <c r="C357" s="4" t="s">
        <v>51</v>
      </c>
      <c r="D357" s="4" t="s">
        <v>52</v>
      </c>
      <c r="E357" s="4" t="s">
        <v>53</v>
      </c>
      <c r="F357" s="4" t="s">
        <v>102</v>
      </c>
      <c r="G357" s="4">
        <v>11.0</v>
      </c>
      <c r="H357" s="13">
        <v>1221.0</v>
      </c>
      <c r="I357" s="13">
        <v>13431.0</v>
      </c>
      <c r="J357" s="4">
        <v>0.0</v>
      </c>
      <c r="K357" s="13">
        <v>0.0</v>
      </c>
      <c r="L357" s="13">
        <v>13431.0</v>
      </c>
      <c r="M357" s="4" t="s">
        <v>87</v>
      </c>
      <c r="N357" s="4" t="s">
        <v>43</v>
      </c>
      <c r="O357" s="4" t="s">
        <v>44</v>
      </c>
      <c r="P357" s="7"/>
      <c r="Q357" s="7"/>
      <c r="R357" s="7"/>
      <c r="S357" s="7"/>
      <c r="T357" s="7"/>
      <c r="U357" s="7"/>
      <c r="V357" s="7"/>
    </row>
    <row r="358" ht="14.25" customHeight="1">
      <c r="A358" s="4">
        <v>20242.0</v>
      </c>
      <c r="B358" s="11">
        <v>45973.0</v>
      </c>
      <c r="C358" s="4" t="s">
        <v>76</v>
      </c>
      <c r="D358" s="4" t="s">
        <v>64</v>
      </c>
      <c r="E358" s="4" t="s">
        <v>77</v>
      </c>
      <c r="F358" s="4" t="s">
        <v>78</v>
      </c>
      <c r="G358" s="4">
        <v>13.0</v>
      </c>
      <c r="H358" s="13">
        <v>5570.0</v>
      </c>
      <c r="I358" s="13">
        <v>72410.0</v>
      </c>
      <c r="J358" s="4">
        <v>10.0</v>
      </c>
      <c r="K358" s="13">
        <v>7241.0</v>
      </c>
      <c r="L358" s="13">
        <v>65169.0</v>
      </c>
      <c r="M358" s="4" t="s">
        <v>87</v>
      </c>
      <c r="N358" s="4" t="s">
        <v>50</v>
      </c>
      <c r="O358" s="4" t="s">
        <v>44</v>
      </c>
      <c r="P358" s="7"/>
      <c r="Q358" s="7"/>
      <c r="R358" s="7"/>
      <c r="S358" s="7"/>
      <c r="T358" s="7"/>
      <c r="U358" s="7"/>
      <c r="V358" s="7"/>
    </row>
    <row r="359" ht="14.25" customHeight="1">
      <c r="A359" s="4">
        <v>20067.0</v>
      </c>
      <c r="B359" s="11">
        <v>45974.0</v>
      </c>
      <c r="C359" s="4" t="s">
        <v>63</v>
      </c>
      <c r="D359" s="4" t="s">
        <v>64</v>
      </c>
      <c r="E359" s="4" t="s">
        <v>47</v>
      </c>
      <c r="F359" s="4" t="s">
        <v>27</v>
      </c>
      <c r="G359" s="4">
        <v>8.0</v>
      </c>
      <c r="H359" s="13">
        <v>1449.0</v>
      </c>
      <c r="I359" s="13">
        <v>11592.0</v>
      </c>
      <c r="J359" s="4">
        <v>10.0</v>
      </c>
      <c r="K359" s="13">
        <v>1159.0</v>
      </c>
      <c r="L359" s="13">
        <v>10433.0</v>
      </c>
      <c r="M359" s="4" t="s">
        <v>49</v>
      </c>
      <c r="N359" s="4" t="s">
        <v>62</v>
      </c>
      <c r="O359" s="4" t="s">
        <v>57</v>
      </c>
      <c r="P359" s="7"/>
      <c r="Q359" s="7"/>
      <c r="R359" s="7"/>
      <c r="S359" s="7"/>
      <c r="T359" s="7"/>
      <c r="U359" s="7"/>
      <c r="V359" s="7"/>
    </row>
    <row r="360" ht="14.25" customHeight="1">
      <c r="A360" s="4">
        <v>20306.0</v>
      </c>
      <c r="B360" s="11">
        <v>45974.0</v>
      </c>
      <c r="C360" s="4" t="s">
        <v>51</v>
      </c>
      <c r="D360" s="4" t="s">
        <v>52</v>
      </c>
      <c r="E360" s="4" t="s">
        <v>26</v>
      </c>
      <c r="F360" s="4" t="s">
        <v>111</v>
      </c>
      <c r="G360" s="4">
        <v>15.0</v>
      </c>
      <c r="H360" s="13">
        <v>459.0</v>
      </c>
      <c r="I360" s="13">
        <v>6885.0</v>
      </c>
      <c r="J360" s="4">
        <v>0.0</v>
      </c>
      <c r="K360" s="13">
        <v>0.0</v>
      </c>
      <c r="L360" s="13">
        <v>6885.0</v>
      </c>
      <c r="M360" s="4" t="s">
        <v>55</v>
      </c>
      <c r="N360" s="4" t="s">
        <v>62</v>
      </c>
      <c r="O360" s="4" t="s">
        <v>44</v>
      </c>
      <c r="P360" s="7"/>
      <c r="Q360" s="7"/>
      <c r="R360" s="7"/>
      <c r="S360" s="7"/>
      <c r="T360" s="7"/>
      <c r="U360" s="7"/>
      <c r="V360" s="7"/>
    </row>
    <row r="361" ht="14.25" customHeight="1">
      <c r="A361" s="4">
        <v>20331.0</v>
      </c>
      <c r="B361" s="11">
        <v>45974.0</v>
      </c>
      <c r="C361" s="4" t="s">
        <v>58</v>
      </c>
      <c r="D361" s="4" t="s">
        <v>25</v>
      </c>
      <c r="E361" s="4" t="s">
        <v>53</v>
      </c>
      <c r="F361" s="4" t="s">
        <v>102</v>
      </c>
      <c r="G361" s="4">
        <v>13.0</v>
      </c>
      <c r="H361" s="13">
        <v>705.0</v>
      </c>
      <c r="I361" s="13">
        <v>9165.0</v>
      </c>
      <c r="J361" s="4">
        <v>20.0</v>
      </c>
      <c r="K361" s="13">
        <v>1833.0</v>
      </c>
      <c r="L361" s="13">
        <v>7332.0</v>
      </c>
      <c r="M361" s="4" t="s">
        <v>96</v>
      </c>
      <c r="N361" s="4" t="s">
        <v>56</v>
      </c>
      <c r="O361" s="4" t="s">
        <v>69</v>
      </c>
      <c r="P361" s="7"/>
      <c r="Q361" s="7"/>
      <c r="R361" s="7"/>
      <c r="S361" s="7"/>
      <c r="T361" s="7"/>
      <c r="U361" s="7"/>
      <c r="V361" s="7"/>
    </row>
    <row r="362" ht="14.25" customHeight="1">
      <c r="A362" s="4">
        <v>20237.0</v>
      </c>
      <c r="B362" s="11">
        <v>45975.0</v>
      </c>
      <c r="C362" s="4" t="s">
        <v>93</v>
      </c>
      <c r="D362" s="4" t="s">
        <v>25</v>
      </c>
      <c r="E362" s="4" t="s">
        <v>53</v>
      </c>
      <c r="F362" s="4" t="s">
        <v>102</v>
      </c>
      <c r="G362" s="4">
        <v>8.0</v>
      </c>
      <c r="H362" s="13">
        <v>1085.0</v>
      </c>
      <c r="I362" s="13">
        <v>8680.0</v>
      </c>
      <c r="J362" s="4">
        <v>15.0</v>
      </c>
      <c r="K362" s="13">
        <v>1302.0</v>
      </c>
      <c r="L362" s="13">
        <v>7378.0</v>
      </c>
      <c r="M362" s="4" t="s">
        <v>42</v>
      </c>
      <c r="N362" s="4" t="s">
        <v>43</v>
      </c>
      <c r="O362" s="4" t="s">
        <v>57</v>
      </c>
      <c r="P362" s="7"/>
      <c r="Q362" s="7"/>
      <c r="R362" s="7"/>
      <c r="S362" s="7"/>
      <c r="T362" s="7"/>
      <c r="U362" s="7"/>
      <c r="V362" s="7"/>
    </row>
    <row r="363" ht="14.25" customHeight="1">
      <c r="A363" s="4">
        <v>20345.0</v>
      </c>
      <c r="B363" s="11">
        <v>45975.0</v>
      </c>
      <c r="C363" s="4" t="s">
        <v>82</v>
      </c>
      <c r="D363" s="4" t="s">
        <v>52</v>
      </c>
      <c r="E363" s="4" t="s">
        <v>53</v>
      </c>
      <c r="F363" s="4" t="s">
        <v>98</v>
      </c>
      <c r="G363" s="4">
        <v>8.0</v>
      </c>
      <c r="H363" s="13">
        <v>1854.0</v>
      </c>
      <c r="I363" s="13">
        <v>14832.0</v>
      </c>
      <c r="J363" s="4">
        <v>0.0</v>
      </c>
      <c r="K363" s="13">
        <v>0.0</v>
      </c>
      <c r="L363" s="13">
        <v>14832.0</v>
      </c>
      <c r="M363" s="4" t="s">
        <v>55</v>
      </c>
      <c r="N363" s="4" t="s">
        <v>72</v>
      </c>
      <c r="O363" s="4" t="s">
        <v>57</v>
      </c>
      <c r="P363" s="7"/>
      <c r="Q363" s="7"/>
      <c r="R363" s="7"/>
      <c r="S363" s="7"/>
      <c r="T363" s="7"/>
      <c r="U363" s="7"/>
      <c r="V363" s="7"/>
    </row>
    <row r="364" ht="14.25" customHeight="1">
      <c r="A364" s="4">
        <v>20050.0</v>
      </c>
      <c r="B364" s="11">
        <v>45976.0</v>
      </c>
      <c r="C364" s="4" t="s">
        <v>97</v>
      </c>
      <c r="D364" s="4" t="s">
        <v>25</v>
      </c>
      <c r="E364" s="4" t="s">
        <v>59</v>
      </c>
      <c r="F364" s="4" t="s">
        <v>83</v>
      </c>
      <c r="G364" s="4">
        <v>10.0</v>
      </c>
      <c r="H364" s="13">
        <v>279.0</v>
      </c>
      <c r="I364" s="13">
        <v>2790.0</v>
      </c>
      <c r="J364" s="4">
        <v>20.0</v>
      </c>
      <c r="K364" s="13">
        <v>558.0</v>
      </c>
      <c r="L364" s="13">
        <v>2232.0</v>
      </c>
      <c r="M364" s="4" t="s">
        <v>42</v>
      </c>
      <c r="N364" s="4" t="s">
        <v>50</v>
      </c>
      <c r="O364" s="4" t="s">
        <v>69</v>
      </c>
      <c r="P364" s="7"/>
      <c r="Q364" s="7"/>
      <c r="R364" s="7"/>
      <c r="S364" s="7"/>
      <c r="T364" s="7"/>
      <c r="U364" s="7"/>
      <c r="V364" s="7"/>
    </row>
    <row r="365" ht="14.25" customHeight="1">
      <c r="A365" s="4">
        <v>20268.0</v>
      </c>
      <c r="B365" s="11">
        <v>45976.0</v>
      </c>
      <c r="C365" s="4" t="s">
        <v>63</v>
      </c>
      <c r="D365" s="4" t="s">
        <v>64</v>
      </c>
      <c r="E365" s="4" t="s">
        <v>59</v>
      </c>
      <c r="F365" s="4" t="s">
        <v>85</v>
      </c>
      <c r="G365" s="4">
        <v>10.0</v>
      </c>
      <c r="H365" s="13">
        <v>160.0</v>
      </c>
      <c r="I365" s="13">
        <v>1600.0</v>
      </c>
      <c r="J365" s="4">
        <v>20.0</v>
      </c>
      <c r="K365" s="13">
        <v>320.0</v>
      </c>
      <c r="L365" s="13">
        <v>1280.0</v>
      </c>
      <c r="M365" s="4" t="s">
        <v>106</v>
      </c>
      <c r="N365" s="4" t="s">
        <v>50</v>
      </c>
      <c r="O365" s="4" t="s">
        <v>69</v>
      </c>
      <c r="P365" s="7"/>
      <c r="Q365" s="7"/>
      <c r="R365" s="7"/>
      <c r="S365" s="7"/>
      <c r="T365" s="7"/>
      <c r="U365" s="7"/>
      <c r="V365" s="7"/>
    </row>
    <row r="366" ht="14.25" customHeight="1">
      <c r="A366" s="4">
        <v>20122.0</v>
      </c>
      <c r="B366" s="11">
        <v>45979.0</v>
      </c>
      <c r="C366" s="4" t="s">
        <v>84</v>
      </c>
      <c r="D366" s="4" t="s">
        <v>46</v>
      </c>
      <c r="E366" s="4" t="s">
        <v>77</v>
      </c>
      <c r="F366" s="4" t="s">
        <v>110</v>
      </c>
      <c r="G366" s="4">
        <v>2.0</v>
      </c>
      <c r="H366" s="13">
        <v>4522.0</v>
      </c>
      <c r="I366" s="13">
        <v>9044.0</v>
      </c>
      <c r="J366" s="4">
        <v>10.0</v>
      </c>
      <c r="K366" s="13">
        <v>904.0</v>
      </c>
      <c r="L366" s="13">
        <v>8140.0</v>
      </c>
      <c r="M366" s="4" t="s">
        <v>81</v>
      </c>
      <c r="N366" s="4" t="s">
        <v>72</v>
      </c>
      <c r="O366" s="4" t="s">
        <v>57</v>
      </c>
      <c r="P366" s="7"/>
      <c r="Q366" s="7"/>
      <c r="R366" s="7"/>
      <c r="S366" s="7"/>
      <c r="T366" s="7"/>
      <c r="U366" s="7"/>
      <c r="V366" s="7"/>
    </row>
    <row r="367" ht="14.25" customHeight="1">
      <c r="A367" s="4">
        <v>20066.0</v>
      </c>
      <c r="B367" s="11">
        <v>45980.0</v>
      </c>
      <c r="C367" s="4" t="s">
        <v>93</v>
      </c>
      <c r="D367" s="4" t="s">
        <v>25</v>
      </c>
      <c r="E367" s="4" t="s">
        <v>77</v>
      </c>
      <c r="F367" s="4" t="s">
        <v>78</v>
      </c>
      <c r="G367" s="4">
        <v>13.0</v>
      </c>
      <c r="H367" s="13">
        <v>1597.0</v>
      </c>
      <c r="I367" s="13">
        <v>20761.0</v>
      </c>
      <c r="J367" s="4">
        <v>20.0</v>
      </c>
      <c r="K367" s="13">
        <v>4152.0</v>
      </c>
      <c r="L367" s="13">
        <v>16609.0</v>
      </c>
      <c r="M367" s="4" t="s">
        <v>61</v>
      </c>
      <c r="N367" s="4" t="s">
        <v>56</v>
      </c>
      <c r="O367" s="4" t="s">
        <v>57</v>
      </c>
      <c r="P367" s="7"/>
      <c r="Q367" s="7"/>
      <c r="R367" s="7"/>
      <c r="S367" s="7"/>
      <c r="T367" s="7"/>
      <c r="U367" s="7"/>
      <c r="V367" s="7"/>
    </row>
    <row r="368" ht="14.25" customHeight="1">
      <c r="A368" s="4">
        <v>20385.0</v>
      </c>
      <c r="B368" s="11">
        <v>45980.0</v>
      </c>
      <c r="C368" s="4" t="s">
        <v>93</v>
      </c>
      <c r="D368" s="4" t="s">
        <v>25</v>
      </c>
      <c r="E368" s="4" t="s">
        <v>47</v>
      </c>
      <c r="F368" s="4" t="s">
        <v>65</v>
      </c>
      <c r="G368" s="4">
        <v>1.0</v>
      </c>
      <c r="H368" s="13">
        <v>1859.0</v>
      </c>
      <c r="I368" s="13">
        <v>1859.0</v>
      </c>
      <c r="J368" s="4">
        <v>10.0</v>
      </c>
      <c r="K368" s="13">
        <v>186.0</v>
      </c>
      <c r="L368" s="13">
        <v>1673.0</v>
      </c>
      <c r="M368" s="4" t="s">
        <v>49</v>
      </c>
      <c r="N368" s="4" t="s">
        <v>62</v>
      </c>
      <c r="O368" s="4" t="s">
        <v>57</v>
      </c>
      <c r="P368" s="7"/>
      <c r="Q368" s="7"/>
      <c r="R368" s="7"/>
      <c r="S368" s="7"/>
      <c r="T368" s="7"/>
      <c r="U368" s="7"/>
      <c r="V368" s="7"/>
    </row>
    <row r="369" ht="14.25" customHeight="1">
      <c r="A369" s="4">
        <v>20376.0</v>
      </c>
      <c r="B369" s="11">
        <v>45981.0</v>
      </c>
      <c r="C369" s="4" t="s">
        <v>97</v>
      </c>
      <c r="D369" s="4" t="s">
        <v>25</v>
      </c>
      <c r="E369" s="4" t="s">
        <v>47</v>
      </c>
      <c r="F369" s="4" t="s">
        <v>103</v>
      </c>
      <c r="G369" s="4">
        <v>7.0</v>
      </c>
      <c r="H369" s="13">
        <v>1266.0</v>
      </c>
      <c r="I369" s="13">
        <v>8862.0</v>
      </c>
      <c r="J369" s="4">
        <v>10.0</v>
      </c>
      <c r="K369" s="13">
        <v>886.0</v>
      </c>
      <c r="L369" s="13">
        <v>7976.0</v>
      </c>
      <c r="M369" s="4" t="s">
        <v>87</v>
      </c>
      <c r="N369" s="4" t="s">
        <v>43</v>
      </c>
      <c r="O369" s="4" t="s">
        <v>57</v>
      </c>
      <c r="P369" s="7"/>
      <c r="Q369" s="7"/>
      <c r="R369" s="7"/>
      <c r="S369" s="7"/>
      <c r="T369" s="7"/>
      <c r="U369" s="7"/>
      <c r="V369" s="7"/>
    </row>
    <row r="370" ht="14.25" customHeight="1">
      <c r="A370" s="4">
        <v>20105.0</v>
      </c>
      <c r="B370" s="11">
        <v>45982.0</v>
      </c>
      <c r="C370" s="4" t="s">
        <v>84</v>
      </c>
      <c r="D370" s="4" t="s">
        <v>46</v>
      </c>
      <c r="E370" s="4" t="s">
        <v>59</v>
      </c>
      <c r="F370" s="4" t="s">
        <v>83</v>
      </c>
      <c r="G370" s="4">
        <v>9.0</v>
      </c>
      <c r="H370" s="13">
        <v>369.0</v>
      </c>
      <c r="I370" s="13">
        <v>3321.0</v>
      </c>
      <c r="J370" s="4">
        <v>0.0</v>
      </c>
      <c r="K370" s="13">
        <v>0.0</v>
      </c>
      <c r="L370" s="13">
        <v>3321.0</v>
      </c>
      <c r="M370" s="4" t="s">
        <v>71</v>
      </c>
      <c r="N370" s="4" t="s">
        <v>56</v>
      </c>
      <c r="O370" s="4" t="s">
        <v>57</v>
      </c>
      <c r="P370" s="7"/>
      <c r="Q370" s="7"/>
      <c r="R370" s="7"/>
      <c r="S370" s="7"/>
      <c r="T370" s="7"/>
      <c r="U370" s="7"/>
      <c r="V370" s="7"/>
    </row>
    <row r="371" ht="14.25" customHeight="1">
      <c r="A371" s="4">
        <v>20356.0</v>
      </c>
      <c r="B371" s="11">
        <v>45982.0</v>
      </c>
      <c r="C371" s="4" t="s">
        <v>45</v>
      </c>
      <c r="D371" s="4" t="s">
        <v>46</v>
      </c>
      <c r="E371" s="4" t="s">
        <v>47</v>
      </c>
      <c r="F371" s="4" t="s">
        <v>103</v>
      </c>
      <c r="G371" s="4">
        <v>12.0</v>
      </c>
      <c r="H371" s="13">
        <v>1403.0</v>
      </c>
      <c r="I371" s="13">
        <v>16836.0</v>
      </c>
      <c r="J371" s="4">
        <v>5.0</v>
      </c>
      <c r="K371" s="13">
        <v>842.0</v>
      </c>
      <c r="L371" s="13">
        <v>15994.0</v>
      </c>
      <c r="M371" s="4" t="s">
        <v>68</v>
      </c>
      <c r="N371" s="4" t="s">
        <v>62</v>
      </c>
      <c r="O371" s="4" t="s">
        <v>69</v>
      </c>
      <c r="P371" s="7"/>
      <c r="Q371" s="7"/>
      <c r="R371" s="7"/>
      <c r="S371" s="7"/>
      <c r="T371" s="7"/>
      <c r="U371" s="7"/>
      <c r="V371" s="7"/>
    </row>
    <row r="372" ht="14.25" customHeight="1">
      <c r="A372" s="4">
        <v>20007.0</v>
      </c>
      <c r="B372" s="11">
        <v>45983.0</v>
      </c>
      <c r="C372" s="4" t="s">
        <v>80</v>
      </c>
      <c r="D372" s="4" t="s">
        <v>64</v>
      </c>
      <c r="E372" s="4" t="s">
        <v>47</v>
      </c>
      <c r="F372" s="4" t="s">
        <v>65</v>
      </c>
      <c r="G372" s="4">
        <v>3.0</v>
      </c>
      <c r="H372" s="13">
        <v>2480.0</v>
      </c>
      <c r="I372" s="13">
        <v>7440.0</v>
      </c>
      <c r="J372" s="4">
        <v>0.0</v>
      </c>
      <c r="K372" s="13">
        <v>0.0</v>
      </c>
      <c r="L372" s="13">
        <v>7440.0</v>
      </c>
      <c r="M372" s="4" t="s">
        <v>55</v>
      </c>
      <c r="N372" s="4" t="s">
        <v>62</v>
      </c>
      <c r="O372" s="4" t="s">
        <v>69</v>
      </c>
      <c r="P372" s="7"/>
      <c r="Q372" s="7"/>
      <c r="R372" s="7"/>
      <c r="S372" s="7"/>
      <c r="T372" s="7"/>
      <c r="U372" s="7"/>
      <c r="V372" s="7"/>
    </row>
    <row r="373" ht="14.25" customHeight="1">
      <c r="A373" s="4">
        <v>20311.0</v>
      </c>
      <c r="B373" s="11">
        <v>45983.0</v>
      </c>
      <c r="C373" s="4" t="s">
        <v>58</v>
      </c>
      <c r="D373" s="4" t="s">
        <v>25</v>
      </c>
      <c r="E373" s="4" t="s">
        <v>26</v>
      </c>
      <c r="F373" s="4" t="s">
        <v>100</v>
      </c>
      <c r="G373" s="4">
        <v>6.0</v>
      </c>
      <c r="H373" s="13">
        <v>620.0</v>
      </c>
      <c r="I373" s="13">
        <v>3720.0</v>
      </c>
      <c r="J373" s="4">
        <v>10.0</v>
      </c>
      <c r="K373" s="13">
        <v>372.0</v>
      </c>
      <c r="L373" s="13">
        <v>3348.0</v>
      </c>
      <c r="M373" s="4" t="s">
        <v>87</v>
      </c>
      <c r="N373" s="4" t="s">
        <v>72</v>
      </c>
      <c r="O373" s="4" t="s">
        <v>44</v>
      </c>
      <c r="P373" s="7"/>
      <c r="Q373" s="7"/>
      <c r="R373" s="7"/>
      <c r="S373" s="7"/>
      <c r="T373" s="7"/>
      <c r="U373" s="7"/>
      <c r="V373" s="7"/>
    </row>
    <row r="374" ht="14.25" customHeight="1">
      <c r="A374" s="4">
        <v>20396.0</v>
      </c>
      <c r="B374" s="11">
        <v>45983.0</v>
      </c>
      <c r="C374" s="4" t="s">
        <v>97</v>
      </c>
      <c r="D374" s="4" t="s">
        <v>25</v>
      </c>
      <c r="E374" s="4" t="s">
        <v>26</v>
      </c>
      <c r="F374" s="4" t="s">
        <v>100</v>
      </c>
      <c r="G374" s="4">
        <v>8.0</v>
      </c>
      <c r="H374" s="13">
        <v>565.0</v>
      </c>
      <c r="I374" s="13">
        <v>4520.0</v>
      </c>
      <c r="J374" s="4">
        <v>0.0</v>
      </c>
      <c r="K374" s="13">
        <v>0.0</v>
      </c>
      <c r="L374" s="13">
        <v>4520.0</v>
      </c>
      <c r="M374" s="4" t="s">
        <v>71</v>
      </c>
      <c r="N374" s="4" t="s">
        <v>56</v>
      </c>
      <c r="O374" s="4" t="s">
        <v>69</v>
      </c>
      <c r="P374" s="7"/>
      <c r="Q374" s="7"/>
      <c r="R374" s="7"/>
      <c r="S374" s="7"/>
      <c r="T374" s="7"/>
      <c r="U374" s="7"/>
      <c r="V374" s="7"/>
    </row>
    <row r="375" ht="14.25" customHeight="1">
      <c r="A375" s="4">
        <v>20177.0</v>
      </c>
      <c r="B375" s="11">
        <v>45984.0</v>
      </c>
      <c r="C375" s="4" t="s">
        <v>63</v>
      </c>
      <c r="D375" s="4" t="s">
        <v>64</v>
      </c>
      <c r="E375" s="4" t="s">
        <v>26</v>
      </c>
      <c r="F375" s="4" t="s">
        <v>104</v>
      </c>
      <c r="G375" s="4">
        <v>7.0</v>
      </c>
      <c r="H375" s="13">
        <v>458.0</v>
      </c>
      <c r="I375" s="13">
        <v>3206.0</v>
      </c>
      <c r="J375" s="4">
        <v>0.0</v>
      </c>
      <c r="K375" s="13">
        <v>0.0</v>
      </c>
      <c r="L375" s="13">
        <v>3206.0</v>
      </c>
      <c r="M375" s="4" t="s">
        <v>87</v>
      </c>
      <c r="N375" s="4" t="s">
        <v>50</v>
      </c>
      <c r="O375" s="4" t="s">
        <v>44</v>
      </c>
      <c r="P375" s="7"/>
      <c r="Q375" s="7"/>
      <c r="R375" s="7"/>
      <c r="S375" s="7"/>
      <c r="T375" s="7"/>
      <c r="U375" s="7"/>
      <c r="V375" s="7"/>
    </row>
    <row r="376" ht="14.25" customHeight="1">
      <c r="A376" s="4">
        <v>20226.0</v>
      </c>
      <c r="B376" s="11">
        <v>45984.0</v>
      </c>
      <c r="C376" s="4" t="s">
        <v>92</v>
      </c>
      <c r="D376" s="4" t="s">
        <v>25</v>
      </c>
      <c r="E376" s="4" t="s">
        <v>26</v>
      </c>
      <c r="F376" s="4" t="s">
        <v>100</v>
      </c>
      <c r="G376" s="4">
        <v>11.0</v>
      </c>
      <c r="H376" s="13">
        <v>483.0</v>
      </c>
      <c r="I376" s="13">
        <v>5313.0</v>
      </c>
      <c r="J376" s="4">
        <v>10.0</v>
      </c>
      <c r="K376" s="13">
        <v>531.0</v>
      </c>
      <c r="L376" s="13">
        <v>4782.0</v>
      </c>
      <c r="M376" s="4" t="s">
        <v>61</v>
      </c>
      <c r="N376" s="4" t="s">
        <v>72</v>
      </c>
      <c r="O376" s="4" t="s">
        <v>44</v>
      </c>
      <c r="P376" s="7"/>
      <c r="Q376" s="7"/>
      <c r="R376" s="7"/>
      <c r="S376" s="7"/>
      <c r="T376" s="7"/>
      <c r="U376" s="7"/>
      <c r="V376" s="7"/>
    </row>
    <row r="377" ht="14.25" customHeight="1">
      <c r="A377" s="3">
        <v>20001.0</v>
      </c>
      <c r="B377" s="11">
        <v>45985.0</v>
      </c>
      <c r="C377" s="3" t="s">
        <v>58</v>
      </c>
      <c r="D377" s="3" t="s">
        <v>46</v>
      </c>
      <c r="E377" s="3" t="s">
        <v>26</v>
      </c>
      <c r="F377" s="4" t="s">
        <v>94</v>
      </c>
      <c r="G377" s="4">
        <v>5.0</v>
      </c>
      <c r="H377" s="13">
        <v>370.0</v>
      </c>
      <c r="I377" s="13">
        <v>1850.0</v>
      </c>
      <c r="J377" s="4">
        <v>15.0</v>
      </c>
      <c r="K377" s="13">
        <v>278.0</v>
      </c>
      <c r="L377" s="13">
        <v>1572.0</v>
      </c>
      <c r="M377" s="4" t="s">
        <v>87</v>
      </c>
      <c r="N377" s="4" t="s">
        <v>62</v>
      </c>
      <c r="O377" s="4" t="s">
        <v>57</v>
      </c>
      <c r="P377" s="7"/>
      <c r="Q377" s="3" t="s">
        <v>115</v>
      </c>
      <c r="R377" s="7" t="str">
        <f t="array" ref="R377:W377">TRANSPOSE(UNIQUE(E377:E795))</f>
        <v>Groceries</v>
      </c>
      <c r="S377" s="7" t="s">
        <v>59</v>
      </c>
      <c r="T377" s="7" t="s">
        <v>53</v>
      </c>
      <c r="U377" s="7" t="s">
        <v>77</v>
      </c>
      <c r="V377" s="7" t="s">
        <v>47</v>
      </c>
      <c r="W377" s="15"/>
    </row>
    <row r="378" ht="14.25" customHeight="1">
      <c r="A378" s="4">
        <v>20204.0</v>
      </c>
      <c r="B378" s="11">
        <v>45986.0</v>
      </c>
      <c r="C378" s="4" t="s">
        <v>82</v>
      </c>
      <c r="D378" s="4" t="s">
        <v>52</v>
      </c>
      <c r="E378" s="4" t="s">
        <v>59</v>
      </c>
      <c r="F378" s="4" t="s">
        <v>60</v>
      </c>
      <c r="G378" s="4">
        <v>12.0</v>
      </c>
      <c r="H378" s="13">
        <v>428.0</v>
      </c>
      <c r="I378" s="13">
        <v>5136.0</v>
      </c>
      <c r="J378" s="4">
        <v>5.0</v>
      </c>
      <c r="K378" s="13">
        <v>257.0</v>
      </c>
      <c r="L378" s="13">
        <v>4879.0</v>
      </c>
      <c r="M378" s="4" t="s">
        <v>68</v>
      </c>
      <c r="N378" s="4" t="s">
        <v>56</v>
      </c>
      <c r="O378" s="4" t="s">
        <v>57</v>
      </c>
      <c r="P378" s="7"/>
      <c r="Q378" s="7"/>
      <c r="R378" s="7"/>
      <c r="S378" s="7"/>
      <c r="T378" s="7"/>
      <c r="U378" s="7"/>
      <c r="V378" s="7"/>
    </row>
    <row r="379" ht="14.25" customHeight="1">
      <c r="A379" s="4">
        <v>20148.0</v>
      </c>
      <c r="B379" s="11">
        <v>45988.0</v>
      </c>
      <c r="C379" s="4" t="s">
        <v>45</v>
      </c>
      <c r="D379" s="4" t="s">
        <v>46</v>
      </c>
      <c r="E379" s="4" t="s">
        <v>53</v>
      </c>
      <c r="F379" s="4" t="s">
        <v>48</v>
      </c>
      <c r="G379" s="4">
        <v>10.0</v>
      </c>
      <c r="H379" s="13">
        <v>613.0</v>
      </c>
      <c r="I379" s="13">
        <v>6130.0</v>
      </c>
      <c r="J379" s="4">
        <v>0.0</v>
      </c>
      <c r="K379" s="13">
        <v>0.0</v>
      </c>
      <c r="L379" s="13">
        <v>6130.0</v>
      </c>
      <c r="M379" s="4" t="s">
        <v>55</v>
      </c>
      <c r="N379" s="4" t="s">
        <v>43</v>
      </c>
      <c r="O379" s="4" t="s">
        <v>69</v>
      </c>
      <c r="P379" s="7"/>
      <c r="Q379" s="7"/>
      <c r="R379" s="7"/>
      <c r="S379" s="7"/>
      <c r="T379" s="7"/>
      <c r="U379" s="7"/>
      <c r="V379" s="7"/>
    </row>
    <row r="380" ht="14.25" customHeight="1">
      <c r="A380" s="4">
        <v>20370.0</v>
      </c>
      <c r="B380" s="11">
        <v>45988.0</v>
      </c>
      <c r="C380" s="4" t="s">
        <v>76</v>
      </c>
      <c r="D380" s="4" t="s">
        <v>64</v>
      </c>
      <c r="E380" s="4" t="s">
        <v>77</v>
      </c>
      <c r="F380" s="4" t="s">
        <v>78</v>
      </c>
      <c r="G380" s="4">
        <v>4.0</v>
      </c>
      <c r="H380" s="13">
        <v>2491.0</v>
      </c>
      <c r="I380" s="13">
        <v>9964.0</v>
      </c>
      <c r="J380" s="4">
        <v>20.0</v>
      </c>
      <c r="K380" s="13">
        <v>1993.0</v>
      </c>
      <c r="L380" s="13">
        <v>7971.0</v>
      </c>
      <c r="M380" s="4" t="s">
        <v>87</v>
      </c>
      <c r="N380" s="4" t="s">
        <v>43</v>
      </c>
      <c r="O380" s="4" t="s">
        <v>57</v>
      </c>
      <c r="P380" s="7"/>
      <c r="Q380" s="7"/>
      <c r="R380" s="7"/>
      <c r="S380" s="7"/>
      <c r="T380" s="7"/>
      <c r="U380" s="7"/>
      <c r="V380" s="7"/>
    </row>
    <row r="381" ht="14.25" customHeight="1">
      <c r="A381" s="4">
        <v>20016.0</v>
      </c>
      <c r="B381" s="11">
        <v>45990.0</v>
      </c>
      <c r="C381" s="4" t="s">
        <v>45</v>
      </c>
      <c r="D381" s="4" t="s">
        <v>46</v>
      </c>
      <c r="E381" s="4" t="s">
        <v>59</v>
      </c>
      <c r="F381" s="4" t="s">
        <v>83</v>
      </c>
      <c r="G381" s="4">
        <v>8.0</v>
      </c>
      <c r="H381" s="13">
        <v>92.0</v>
      </c>
      <c r="I381" s="13">
        <v>736.0</v>
      </c>
      <c r="J381" s="4">
        <v>0.0</v>
      </c>
      <c r="K381" s="13">
        <v>0.0</v>
      </c>
      <c r="L381" s="13">
        <v>736.0</v>
      </c>
      <c r="M381" s="4" t="s">
        <v>49</v>
      </c>
      <c r="N381" s="4" t="s">
        <v>56</v>
      </c>
      <c r="O381" s="4" t="s">
        <v>69</v>
      </c>
      <c r="P381" s="7"/>
      <c r="Q381" s="7"/>
      <c r="R381" s="7"/>
      <c r="S381" s="7"/>
      <c r="T381" s="7"/>
      <c r="U381" s="7"/>
      <c r="V381" s="7"/>
    </row>
    <row r="382" ht="14.25" customHeight="1">
      <c r="A382" s="4">
        <v>20253.0</v>
      </c>
      <c r="B382" s="11">
        <v>45990.0</v>
      </c>
      <c r="C382" s="4" t="s">
        <v>80</v>
      </c>
      <c r="D382" s="4" t="s">
        <v>64</v>
      </c>
      <c r="E382" s="4" t="s">
        <v>59</v>
      </c>
      <c r="F382" s="4" t="s">
        <v>85</v>
      </c>
      <c r="G382" s="4">
        <v>12.0</v>
      </c>
      <c r="H382" s="13">
        <v>137.0</v>
      </c>
      <c r="I382" s="13">
        <v>1644.0</v>
      </c>
      <c r="J382" s="4">
        <v>10.0</v>
      </c>
      <c r="K382" s="13">
        <v>164.0</v>
      </c>
      <c r="L382" s="13">
        <v>1480.0</v>
      </c>
      <c r="M382" s="4" t="s">
        <v>42</v>
      </c>
      <c r="N382" s="4" t="s">
        <v>50</v>
      </c>
      <c r="O382" s="4" t="s">
        <v>69</v>
      </c>
      <c r="P382" s="7"/>
      <c r="Q382" s="7"/>
      <c r="R382" s="7"/>
      <c r="S382" s="7"/>
      <c r="T382" s="7"/>
      <c r="U382" s="7"/>
      <c r="V382" s="7"/>
    </row>
    <row r="383" ht="14.25" customHeight="1">
      <c r="A383" s="4">
        <v>20260.0</v>
      </c>
      <c r="B383" s="11">
        <v>45990.0</v>
      </c>
      <c r="C383" s="4" t="s">
        <v>92</v>
      </c>
      <c r="D383" s="4" t="s">
        <v>25</v>
      </c>
      <c r="E383" s="4" t="s">
        <v>53</v>
      </c>
      <c r="F383" s="4" t="s">
        <v>98</v>
      </c>
      <c r="G383" s="4">
        <v>7.0</v>
      </c>
      <c r="H383" s="13">
        <v>799.0</v>
      </c>
      <c r="I383" s="13">
        <v>5593.0</v>
      </c>
      <c r="J383" s="4">
        <v>0.0</v>
      </c>
      <c r="K383" s="13">
        <v>0.0</v>
      </c>
      <c r="L383" s="13">
        <v>5593.0</v>
      </c>
      <c r="M383" s="4" t="s">
        <v>42</v>
      </c>
      <c r="N383" s="4" t="s">
        <v>56</v>
      </c>
      <c r="O383" s="4" t="s">
        <v>57</v>
      </c>
      <c r="P383" s="7"/>
      <c r="Q383" s="7"/>
      <c r="R383" s="7"/>
      <c r="S383" s="7"/>
      <c r="T383" s="7"/>
      <c r="U383" s="7"/>
      <c r="V383" s="7"/>
    </row>
    <row r="384" ht="14.25" customHeight="1">
      <c r="A384" s="4">
        <v>20021.0</v>
      </c>
      <c r="B384" s="11">
        <v>45991.0</v>
      </c>
      <c r="C384" s="4" t="s">
        <v>97</v>
      </c>
      <c r="D384" s="4" t="s">
        <v>25</v>
      </c>
      <c r="E384" s="4" t="s">
        <v>26</v>
      </c>
      <c r="F384" s="4" t="s">
        <v>100</v>
      </c>
      <c r="G384" s="4">
        <v>3.0</v>
      </c>
      <c r="H384" s="13">
        <v>536.0</v>
      </c>
      <c r="I384" s="13">
        <v>1608.0</v>
      </c>
      <c r="J384" s="4">
        <v>0.0</v>
      </c>
      <c r="K384" s="13">
        <v>0.0</v>
      </c>
      <c r="L384" s="13">
        <v>1608.0</v>
      </c>
      <c r="M384" s="4" t="s">
        <v>68</v>
      </c>
      <c r="N384" s="4" t="s">
        <v>43</v>
      </c>
      <c r="O384" s="4" t="s">
        <v>69</v>
      </c>
      <c r="P384" s="7"/>
      <c r="Q384" s="7"/>
      <c r="R384" s="7"/>
      <c r="S384" s="7"/>
      <c r="T384" s="7"/>
      <c r="U384" s="7"/>
      <c r="V384" s="7"/>
    </row>
    <row r="385" ht="14.25" customHeight="1">
      <c r="A385" s="4">
        <v>20158.0</v>
      </c>
      <c r="B385" s="11">
        <v>45991.0</v>
      </c>
      <c r="C385" s="4" t="s">
        <v>99</v>
      </c>
      <c r="D385" s="4" t="s">
        <v>64</v>
      </c>
      <c r="E385" s="4" t="s">
        <v>47</v>
      </c>
      <c r="F385" s="4" t="s">
        <v>27</v>
      </c>
      <c r="G385" s="4">
        <v>10.0</v>
      </c>
      <c r="H385" s="13">
        <v>1385.0</v>
      </c>
      <c r="I385" s="13">
        <v>13850.0</v>
      </c>
      <c r="J385" s="4">
        <v>15.0</v>
      </c>
      <c r="K385" s="13">
        <v>2078.0</v>
      </c>
      <c r="L385" s="13">
        <v>11772.0</v>
      </c>
      <c r="M385" s="4" t="s">
        <v>96</v>
      </c>
      <c r="N385" s="4" t="s">
        <v>43</v>
      </c>
      <c r="O385" s="4" t="s">
        <v>69</v>
      </c>
      <c r="P385" s="7"/>
      <c r="Q385" s="7"/>
      <c r="R385" s="7"/>
      <c r="S385" s="7"/>
      <c r="T385" s="7"/>
      <c r="U385" s="7"/>
      <c r="V385" s="7"/>
    </row>
    <row r="386" ht="14.25" customHeight="1">
      <c r="A386" s="4">
        <v>20178.0</v>
      </c>
      <c r="B386" s="11">
        <v>45992.0</v>
      </c>
      <c r="C386" s="4" t="s">
        <v>82</v>
      </c>
      <c r="D386" s="4" t="s">
        <v>52</v>
      </c>
      <c r="E386" s="4" t="s">
        <v>59</v>
      </c>
      <c r="F386" s="4" t="s">
        <v>60</v>
      </c>
      <c r="G386" s="4">
        <v>13.0</v>
      </c>
      <c r="H386" s="13">
        <v>390.0</v>
      </c>
      <c r="I386" s="13">
        <v>5070.0</v>
      </c>
      <c r="J386" s="4">
        <v>20.0</v>
      </c>
      <c r="K386" s="13">
        <v>1014.0</v>
      </c>
      <c r="L386" s="13">
        <v>4056.0</v>
      </c>
      <c r="M386" s="4" t="s">
        <v>71</v>
      </c>
      <c r="N386" s="4" t="s">
        <v>56</v>
      </c>
      <c r="O386" s="4" t="s">
        <v>69</v>
      </c>
      <c r="P386" s="7"/>
      <c r="Q386" s="7"/>
      <c r="R386" s="7"/>
      <c r="S386" s="7"/>
      <c r="T386" s="7"/>
      <c r="U386" s="7"/>
      <c r="V386" s="7"/>
    </row>
    <row r="387" ht="14.25" customHeight="1">
      <c r="A387" s="4">
        <v>20121.0</v>
      </c>
      <c r="B387" s="11">
        <v>45993.0</v>
      </c>
      <c r="C387" s="4" t="s">
        <v>92</v>
      </c>
      <c r="D387" s="4" t="s">
        <v>25</v>
      </c>
      <c r="E387" s="4" t="s">
        <v>77</v>
      </c>
      <c r="F387" s="4" t="s">
        <v>105</v>
      </c>
      <c r="G387" s="4">
        <v>8.0</v>
      </c>
      <c r="H387" s="13">
        <v>7080.0</v>
      </c>
      <c r="I387" s="13">
        <v>56640.0</v>
      </c>
      <c r="J387" s="4">
        <v>15.0</v>
      </c>
      <c r="K387" s="13">
        <v>8496.0</v>
      </c>
      <c r="L387" s="13">
        <v>48144.0</v>
      </c>
      <c r="M387" s="4" t="s">
        <v>49</v>
      </c>
      <c r="N387" s="4" t="s">
        <v>56</v>
      </c>
      <c r="O387" s="4" t="s">
        <v>44</v>
      </c>
      <c r="P387" s="7"/>
      <c r="Q387" s="7"/>
      <c r="R387" s="7"/>
      <c r="S387" s="7"/>
      <c r="T387" s="7"/>
      <c r="U387" s="7"/>
      <c r="V387" s="7"/>
    </row>
    <row r="388" ht="14.25" customHeight="1">
      <c r="A388" s="4">
        <v>20244.0</v>
      </c>
      <c r="B388" s="11">
        <v>45993.0</v>
      </c>
      <c r="C388" s="4" t="s">
        <v>76</v>
      </c>
      <c r="D388" s="4" t="s">
        <v>64</v>
      </c>
      <c r="E388" s="4" t="s">
        <v>77</v>
      </c>
      <c r="F388" s="4" t="s">
        <v>78</v>
      </c>
      <c r="G388" s="4">
        <v>3.0</v>
      </c>
      <c r="H388" s="13">
        <v>7686.0</v>
      </c>
      <c r="I388" s="13">
        <v>23058.0</v>
      </c>
      <c r="J388" s="4">
        <v>5.0</v>
      </c>
      <c r="K388" s="13">
        <v>1153.0</v>
      </c>
      <c r="L388" s="13">
        <v>21905.0</v>
      </c>
      <c r="M388" s="4" t="s">
        <v>68</v>
      </c>
      <c r="N388" s="4" t="s">
        <v>56</v>
      </c>
      <c r="O388" s="4" t="s">
        <v>57</v>
      </c>
      <c r="P388" s="7"/>
      <c r="Q388" s="7"/>
      <c r="R388" s="7"/>
      <c r="S388" s="7"/>
      <c r="T388" s="7"/>
      <c r="U388" s="7"/>
      <c r="V388" s="7"/>
    </row>
    <row r="389" ht="14.25" customHeight="1">
      <c r="A389" s="4">
        <v>20372.0</v>
      </c>
      <c r="B389" s="11">
        <v>45993.0</v>
      </c>
      <c r="C389" s="4" t="s">
        <v>63</v>
      </c>
      <c r="D389" s="4" t="s">
        <v>64</v>
      </c>
      <c r="E389" s="4" t="s">
        <v>26</v>
      </c>
      <c r="F389" s="4" t="s">
        <v>74</v>
      </c>
      <c r="G389" s="4">
        <v>10.0</v>
      </c>
      <c r="H389" s="13">
        <v>191.0</v>
      </c>
      <c r="I389" s="13">
        <v>1910.0</v>
      </c>
      <c r="J389" s="4">
        <v>5.0</v>
      </c>
      <c r="K389" s="13">
        <v>96.0</v>
      </c>
      <c r="L389" s="13">
        <v>1814.0</v>
      </c>
      <c r="M389" s="4" t="s">
        <v>55</v>
      </c>
      <c r="N389" s="4" t="s">
        <v>56</v>
      </c>
      <c r="O389" s="4" t="s">
        <v>57</v>
      </c>
      <c r="P389" s="7"/>
      <c r="Q389" s="7"/>
      <c r="R389" s="7"/>
      <c r="S389" s="7"/>
      <c r="T389" s="7"/>
      <c r="U389" s="7"/>
      <c r="V389" s="7"/>
    </row>
    <row r="390" ht="14.25" customHeight="1">
      <c r="A390" s="4">
        <v>20399.0</v>
      </c>
      <c r="B390" s="11">
        <v>45993.0</v>
      </c>
      <c r="C390" s="4" t="s">
        <v>97</v>
      </c>
      <c r="D390" s="4" t="s">
        <v>25</v>
      </c>
      <c r="E390" s="4" t="s">
        <v>77</v>
      </c>
      <c r="F390" s="4" t="s">
        <v>90</v>
      </c>
      <c r="G390" s="4">
        <v>5.0</v>
      </c>
      <c r="H390" s="13">
        <v>3792.0</v>
      </c>
      <c r="I390" s="13">
        <v>18960.0</v>
      </c>
      <c r="J390" s="4">
        <v>10.0</v>
      </c>
      <c r="K390" s="13">
        <v>1896.0</v>
      </c>
      <c r="L390" s="13">
        <v>17064.0</v>
      </c>
      <c r="M390" s="4" t="s">
        <v>106</v>
      </c>
      <c r="N390" s="4" t="s">
        <v>56</v>
      </c>
      <c r="O390" s="4" t="s">
        <v>69</v>
      </c>
      <c r="P390" s="7"/>
      <c r="Q390" s="7"/>
      <c r="R390" s="7"/>
      <c r="S390" s="7"/>
      <c r="T390" s="7"/>
      <c r="U390" s="7"/>
      <c r="V390" s="7"/>
    </row>
    <row r="391" ht="14.25" customHeight="1">
      <c r="A391" s="4">
        <v>20141.0</v>
      </c>
      <c r="B391" s="11">
        <v>45994.0</v>
      </c>
      <c r="C391" s="4" t="s">
        <v>58</v>
      </c>
      <c r="D391" s="4" t="s">
        <v>25</v>
      </c>
      <c r="E391" s="4" t="s">
        <v>47</v>
      </c>
      <c r="F391" s="4" t="s">
        <v>67</v>
      </c>
      <c r="G391" s="4">
        <v>3.0</v>
      </c>
      <c r="H391" s="13">
        <v>916.0</v>
      </c>
      <c r="I391" s="13">
        <v>2748.0</v>
      </c>
      <c r="J391" s="4">
        <v>20.0</v>
      </c>
      <c r="K391" s="13">
        <v>550.0</v>
      </c>
      <c r="L391" s="13">
        <v>2198.0</v>
      </c>
      <c r="M391" s="4" t="s">
        <v>42</v>
      </c>
      <c r="N391" s="4" t="s">
        <v>43</v>
      </c>
      <c r="O391" s="4" t="s">
        <v>57</v>
      </c>
      <c r="P391" s="7"/>
      <c r="Q391" s="7"/>
      <c r="R391" s="7"/>
      <c r="S391" s="7"/>
      <c r="T391" s="7"/>
      <c r="U391" s="7"/>
      <c r="V391" s="7"/>
    </row>
    <row r="392" ht="14.25" customHeight="1">
      <c r="A392" s="4">
        <v>20329.0</v>
      </c>
      <c r="B392" s="11">
        <v>45996.0</v>
      </c>
      <c r="C392" s="4" t="s">
        <v>58</v>
      </c>
      <c r="D392" s="4" t="s">
        <v>25</v>
      </c>
      <c r="E392" s="4" t="s">
        <v>26</v>
      </c>
      <c r="F392" s="4" t="s">
        <v>104</v>
      </c>
      <c r="G392" s="4">
        <v>12.0</v>
      </c>
      <c r="H392" s="13">
        <v>238.0</v>
      </c>
      <c r="I392" s="13">
        <v>2856.0</v>
      </c>
      <c r="J392" s="4">
        <v>10.0</v>
      </c>
      <c r="K392" s="13">
        <v>286.0</v>
      </c>
      <c r="L392" s="13">
        <v>2570.0</v>
      </c>
      <c r="M392" s="4" t="s">
        <v>96</v>
      </c>
      <c r="N392" s="4" t="s">
        <v>43</v>
      </c>
      <c r="O392" s="4" t="s">
        <v>57</v>
      </c>
      <c r="P392" s="7"/>
      <c r="Q392" s="7"/>
      <c r="R392" s="7"/>
      <c r="S392" s="7"/>
      <c r="T392" s="7"/>
      <c r="U392" s="7"/>
      <c r="V392" s="7"/>
    </row>
    <row r="393" ht="14.25" customHeight="1">
      <c r="A393" s="4">
        <v>20386.0</v>
      </c>
      <c r="B393" s="11">
        <v>45996.0</v>
      </c>
      <c r="C393" s="4" t="s">
        <v>89</v>
      </c>
      <c r="D393" s="4" t="s">
        <v>46</v>
      </c>
      <c r="E393" s="4" t="s">
        <v>26</v>
      </c>
      <c r="F393" s="4" t="s">
        <v>100</v>
      </c>
      <c r="G393" s="4">
        <v>8.0</v>
      </c>
      <c r="H393" s="13">
        <v>602.0</v>
      </c>
      <c r="I393" s="13">
        <v>4816.0</v>
      </c>
      <c r="J393" s="4">
        <v>20.0</v>
      </c>
      <c r="K393" s="13">
        <v>963.0</v>
      </c>
      <c r="L393" s="13">
        <v>3853.0</v>
      </c>
      <c r="M393" s="4" t="s">
        <v>61</v>
      </c>
      <c r="N393" s="4" t="s">
        <v>56</v>
      </c>
      <c r="O393" s="4" t="s">
        <v>69</v>
      </c>
      <c r="P393" s="7"/>
      <c r="Q393" s="7"/>
      <c r="R393" s="7"/>
      <c r="S393" s="7"/>
      <c r="T393" s="7"/>
      <c r="U393" s="7"/>
      <c r="V393" s="7"/>
    </row>
    <row r="394" ht="14.25" customHeight="1">
      <c r="A394" s="4">
        <v>20041.0</v>
      </c>
      <c r="B394" s="11">
        <v>45997.0</v>
      </c>
      <c r="C394" s="4" t="s">
        <v>84</v>
      </c>
      <c r="D394" s="4" t="s">
        <v>46</v>
      </c>
      <c r="E394" s="4" t="s">
        <v>26</v>
      </c>
      <c r="F394" s="4" t="s">
        <v>100</v>
      </c>
      <c r="G394" s="4">
        <v>11.0</v>
      </c>
      <c r="H394" s="13">
        <v>437.0</v>
      </c>
      <c r="I394" s="13">
        <v>4807.0</v>
      </c>
      <c r="J394" s="4">
        <v>0.0</v>
      </c>
      <c r="K394" s="13">
        <v>0.0</v>
      </c>
      <c r="L394" s="13">
        <v>4807.0</v>
      </c>
      <c r="M394" s="4" t="s">
        <v>106</v>
      </c>
      <c r="N394" s="4" t="s">
        <v>43</v>
      </c>
      <c r="O394" s="4" t="s">
        <v>57</v>
      </c>
      <c r="P394" s="7"/>
      <c r="Q394" s="7"/>
      <c r="R394" s="7"/>
      <c r="S394" s="7"/>
      <c r="T394" s="7"/>
      <c r="U394" s="7"/>
      <c r="V394" s="7"/>
    </row>
    <row r="395" ht="14.25" customHeight="1">
      <c r="A395" s="4">
        <v>20272.0</v>
      </c>
      <c r="B395" s="11">
        <v>45997.0</v>
      </c>
      <c r="C395" s="4" t="s">
        <v>76</v>
      </c>
      <c r="D395" s="4" t="s">
        <v>64</v>
      </c>
      <c r="E395" s="4" t="s">
        <v>77</v>
      </c>
      <c r="F395" s="4" t="s">
        <v>101</v>
      </c>
      <c r="G395" s="4">
        <v>5.0</v>
      </c>
      <c r="H395" s="13">
        <v>8486.0</v>
      </c>
      <c r="I395" s="13">
        <v>42430.0</v>
      </c>
      <c r="J395" s="4">
        <v>0.0</v>
      </c>
      <c r="K395" s="13">
        <v>0.0</v>
      </c>
      <c r="L395" s="13">
        <v>42430.0</v>
      </c>
      <c r="M395" s="4" t="s">
        <v>42</v>
      </c>
      <c r="N395" s="4" t="s">
        <v>72</v>
      </c>
      <c r="O395" s="4" t="s">
        <v>69</v>
      </c>
      <c r="P395" s="7"/>
      <c r="Q395" s="7"/>
      <c r="R395" s="7"/>
      <c r="S395" s="7"/>
      <c r="T395" s="7"/>
      <c r="U395" s="7"/>
      <c r="V395" s="7"/>
    </row>
    <row r="396" ht="14.25" customHeight="1">
      <c r="A396" s="4">
        <v>20355.0</v>
      </c>
      <c r="B396" s="11">
        <v>45998.0</v>
      </c>
      <c r="C396" s="4" t="s">
        <v>93</v>
      </c>
      <c r="D396" s="4" t="s">
        <v>25</v>
      </c>
      <c r="E396" s="4" t="s">
        <v>59</v>
      </c>
      <c r="F396" s="4" t="s">
        <v>86</v>
      </c>
      <c r="G396" s="4">
        <v>7.0</v>
      </c>
      <c r="H396" s="13">
        <v>66.0</v>
      </c>
      <c r="I396" s="13">
        <v>462.0</v>
      </c>
      <c r="J396" s="4">
        <v>0.0</v>
      </c>
      <c r="K396" s="13">
        <v>0.0</v>
      </c>
      <c r="L396" s="13">
        <v>462.0</v>
      </c>
      <c r="M396" s="4" t="s">
        <v>49</v>
      </c>
      <c r="N396" s="4" t="s">
        <v>43</v>
      </c>
      <c r="O396" s="4" t="s">
        <v>69</v>
      </c>
      <c r="P396" s="7"/>
      <c r="Q396" s="7"/>
      <c r="R396" s="7"/>
      <c r="S396" s="7"/>
      <c r="T396" s="7"/>
      <c r="U396" s="7"/>
      <c r="V396" s="7"/>
    </row>
    <row r="397" ht="14.25" customHeight="1">
      <c r="A397" s="4">
        <v>20088.0</v>
      </c>
      <c r="B397" s="11">
        <v>45999.0</v>
      </c>
      <c r="C397" s="4" t="s">
        <v>97</v>
      </c>
      <c r="D397" s="4" t="s">
        <v>25</v>
      </c>
      <c r="E397" s="4" t="s">
        <v>59</v>
      </c>
      <c r="F397" s="4" t="s">
        <v>85</v>
      </c>
      <c r="G397" s="4">
        <v>11.0</v>
      </c>
      <c r="H397" s="13">
        <v>236.0</v>
      </c>
      <c r="I397" s="13">
        <v>2596.0</v>
      </c>
      <c r="J397" s="4">
        <v>15.0</v>
      </c>
      <c r="K397" s="13">
        <v>389.0</v>
      </c>
      <c r="L397" s="13">
        <v>2207.0</v>
      </c>
      <c r="M397" s="4" t="s">
        <v>61</v>
      </c>
      <c r="N397" s="4" t="s">
        <v>72</v>
      </c>
      <c r="O397" s="4" t="s">
        <v>44</v>
      </c>
      <c r="P397" s="7"/>
      <c r="Q397" s="7"/>
      <c r="R397" s="7"/>
      <c r="S397" s="7"/>
      <c r="T397" s="7"/>
      <c r="U397" s="7"/>
      <c r="V397" s="7"/>
    </row>
    <row r="398" ht="14.25" customHeight="1">
      <c r="A398" s="4">
        <v>20018.0</v>
      </c>
      <c r="B398" s="11">
        <v>46000.0</v>
      </c>
      <c r="C398" s="4" t="s">
        <v>82</v>
      </c>
      <c r="D398" s="4" t="s">
        <v>52</v>
      </c>
      <c r="E398" s="4" t="s">
        <v>77</v>
      </c>
      <c r="F398" s="4" t="s">
        <v>88</v>
      </c>
      <c r="G398" s="4">
        <v>3.0</v>
      </c>
      <c r="H398" s="13">
        <v>2890.0</v>
      </c>
      <c r="I398" s="13">
        <v>8670.0</v>
      </c>
      <c r="J398" s="4">
        <v>0.0</v>
      </c>
      <c r="K398" s="13">
        <v>0.0</v>
      </c>
      <c r="L398" s="13">
        <v>8670.0</v>
      </c>
      <c r="M398" s="4" t="s">
        <v>71</v>
      </c>
      <c r="N398" s="4" t="s">
        <v>43</v>
      </c>
      <c r="O398" s="4" t="s">
        <v>44</v>
      </c>
      <c r="P398" s="7"/>
      <c r="Q398" s="7"/>
      <c r="R398" s="7"/>
      <c r="S398" s="7"/>
      <c r="T398" s="7"/>
      <c r="U398" s="7"/>
      <c r="V398" s="7"/>
    </row>
    <row r="399" ht="14.25" customHeight="1">
      <c r="A399" s="4">
        <v>20340.0</v>
      </c>
      <c r="B399" s="11">
        <v>46000.0</v>
      </c>
      <c r="C399" s="4" t="s">
        <v>84</v>
      </c>
      <c r="D399" s="4" t="s">
        <v>46</v>
      </c>
      <c r="E399" s="4" t="s">
        <v>47</v>
      </c>
      <c r="F399" s="4" t="s">
        <v>103</v>
      </c>
      <c r="G399" s="4">
        <v>12.0</v>
      </c>
      <c r="H399" s="13">
        <v>1217.0</v>
      </c>
      <c r="I399" s="13">
        <v>14604.0</v>
      </c>
      <c r="J399" s="4">
        <v>5.0</v>
      </c>
      <c r="K399" s="13">
        <v>730.0</v>
      </c>
      <c r="L399" s="13">
        <v>13874.0</v>
      </c>
      <c r="M399" s="4" t="s">
        <v>55</v>
      </c>
      <c r="N399" s="4" t="s">
        <v>43</v>
      </c>
      <c r="O399" s="4" t="s">
        <v>69</v>
      </c>
      <c r="P399" s="7"/>
      <c r="Q399" s="7"/>
      <c r="R399" s="7"/>
      <c r="S399" s="7"/>
      <c r="T399" s="7"/>
      <c r="U399" s="7"/>
      <c r="V399" s="7"/>
    </row>
    <row r="400" ht="14.25" customHeight="1">
      <c r="A400" s="4">
        <v>20361.0</v>
      </c>
      <c r="B400" s="11">
        <v>46000.0</v>
      </c>
      <c r="C400" s="4" t="s">
        <v>45</v>
      </c>
      <c r="D400" s="4" t="s">
        <v>46</v>
      </c>
      <c r="E400" s="4" t="s">
        <v>59</v>
      </c>
      <c r="F400" s="4" t="s">
        <v>60</v>
      </c>
      <c r="G400" s="4">
        <v>15.0</v>
      </c>
      <c r="H400" s="13">
        <v>224.0</v>
      </c>
      <c r="I400" s="13">
        <v>3360.0</v>
      </c>
      <c r="J400" s="4">
        <v>20.0</v>
      </c>
      <c r="K400" s="13">
        <v>672.0</v>
      </c>
      <c r="L400" s="13">
        <v>2688.0</v>
      </c>
      <c r="M400" s="4" t="s">
        <v>71</v>
      </c>
      <c r="N400" s="4" t="s">
        <v>43</v>
      </c>
      <c r="O400" s="4" t="s">
        <v>44</v>
      </c>
      <c r="P400" s="7"/>
      <c r="Q400" s="7"/>
      <c r="R400" s="7"/>
      <c r="S400" s="7"/>
      <c r="T400" s="7"/>
      <c r="U400" s="7"/>
      <c r="V400" s="7"/>
    </row>
    <row r="401" ht="14.25" customHeight="1">
      <c r="A401" s="4">
        <v>20333.0</v>
      </c>
      <c r="B401" s="11">
        <v>46001.0</v>
      </c>
      <c r="C401" s="4" t="s">
        <v>92</v>
      </c>
      <c r="D401" s="4" t="s">
        <v>25</v>
      </c>
      <c r="E401" s="4" t="s">
        <v>26</v>
      </c>
      <c r="F401" s="4" t="s">
        <v>70</v>
      </c>
      <c r="G401" s="4">
        <v>11.0</v>
      </c>
      <c r="H401" s="13">
        <v>625.0</v>
      </c>
      <c r="I401" s="13">
        <v>6875.0</v>
      </c>
      <c r="J401" s="4">
        <v>15.0</v>
      </c>
      <c r="K401" s="13">
        <v>1031.0</v>
      </c>
      <c r="L401" s="13">
        <v>5844.0</v>
      </c>
      <c r="M401" s="4" t="s">
        <v>71</v>
      </c>
      <c r="N401" s="4" t="s">
        <v>72</v>
      </c>
      <c r="O401" s="4" t="s">
        <v>57</v>
      </c>
      <c r="P401" s="7"/>
      <c r="Q401" s="7"/>
      <c r="R401" s="7"/>
      <c r="S401" s="7"/>
      <c r="T401" s="7"/>
      <c r="U401" s="7"/>
      <c r="V401" s="7"/>
    </row>
    <row r="402" ht="14.25" customHeight="1">
      <c r="A402" s="4">
        <v>20353.0</v>
      </c>
      <c r="B402" s="11">
        <v>46001.0</v>
      </c>
      <c r="C402" s="4" t="s">
        <v>93</v>
      </c>
      <c r="D402" s="4" t="s">
        <v>25</v>
      </c>
      <c r="E402" s="4" t="s">
        <v>77</v>
      </c>
      <c r="F402" s="4" t="s">
        <v>101</v>
      </c>
      <c r="G402" s="4">
        <v>13.0</v>
      </c>
      <c r="H402" s="13">
        <v>3247.0</v>
      </c>
      <c r="I402" s="13">
        <v>42211.0</v>
      </c>
      <c r="J402" s="4">
        <v>20.0</v>
      </c>
      <c r="K402" s="13">
        <v>8442.0</v>
      </c>
      <c r="L402" s="13">
        <v>33769.0</v>
      </c>
      <c r="M402" s="4" t="s">
        <v>81</v>
      </c>
      <c r="N402" s="4" t="s">
        <v>72</v>
      </c>
      <c r="O402" s="4" t="s">
        <v>69</v>
      </c>
      <c r="P402" s="7"/>
      <c r="Q402" s="7"/>
      <c r="R402" s="7"/>
      <c r="S402" s="7"/>
      <c r="T402" s="7"/>
      <c r="U402" s="7"/>
      <c r="V402" s="7"/>
    </row>
    <row r="403" ht="14.25" customHeight="1">
      <c r="A403" s="4">
        <v>20095.0</v>
      </c>
      <c r="B403" s="11">
        <v>46003.0</v>
      </c>
      <c r="C403" s="4" t="s">
        <v>63</v>
      </c>
      <c r="D403" s="4" t="s">
        <v>64</v>
      </c>
      <c r="E403" s="4" t="s">
        <v>59</v>
      </c>
      <c r="F403" s="4" t="s">
        <v>79</v>
      </c>
      <c r="G403" s="4">
        <v>10.0</v>
      </c>
      <c r="H403" s="13">
        <v>173.0</v>
      </c>
      <c r="I403" s="13">
        <v>1730.0</v>
      </c>
      <c r="J403" s="4">
        <v>15.0</v>
      </c>
      <c r="K403" s="13">
        <v>260.0</v>
      </c>
      <c r="L403" s="13">
        <v>1470.0</v>
      </c>
      <c r="M403" s="4" t="s">
        <v>42</v>
      </c>
      <c r="N403" s="4" t="s">
        <v>72</v>
      </c>
      <c r="O403" s="4" t="s">
        <v>57</v>
      </c>
      <c r="P403" s="7"/>
      <c r="Q403" s="7"/>
      <c r="R403" s="7"/>
      <c r="S403" s="7"/>
      <c r="T403" s="7"/>
      <c r="U403" s="7"/>
      <c r="V403" s="7"/>
    </row>
    <row r="404" ht="14.25" customHeight="1">
      <c r="A404" s="4">
        <v>20407.0</v>
      </c>
      <c r="B404" s="11">
        <v>46004.0</v>
      </c>
      <c r="C404" s="4" t="s">
        <v>82</v>
      </c>
      <c r="D404" s="4" t="s">
        <v>52</v>
      </c>
      <c r="E404" s="4" t="s">
        <v>47</v>
      </c>
      <c r="F404" s="4" t="s">
        <v>91</v>
      </c>
      <c r="G404" s="4">
        <v>13.0</v>
      </c>
      <c r="H404" s="13">
        <v>1490.0</v>
      </c>
      <c r="I404" s="13">
        <v>19370.0</v>
      </c>
      <c r="J404" s="4">
        <v>5.0</v>
      </c>
      <c r="K404" s="13">
        <v>968.0</v>
      </c>
      <c r="L404" s="13">
        <v>18402.0</v>
      </c>
      <c r="M404" s="4" t="s">
        <v>49</v>
      </c>
      <c r="N404" s="4" t="s">
        <v>72</v>
      </c>
      <c r="O404" s="4" t="s">
        <v>44</v>
      </c>
      <c r="P404" s="7"/>
      <c r="Q404" s="7"/>
      <c r="R404" s="7"/>
      <c r="S404" s="7"/>
      <c r="T404" s="7"/>
      <c r="U404" s="7"/>
      <c r="V404" s="7"/>
    </row>
    <row r="405" ht="14.25" customHeight="1">
      <c r="A405" s="4">
        <v>20127.0</v>
      </c>
      <c r="B405" s="11">
        <v>46005.0</v>
      </c>
      <c r="C405" s="4" t="s">
        <v>51</v>
      </c>
      <c r="D405" s="4" t="s">
        <v>52</v>
      </c>
      <c r="E405" s="4" t="s">
        <v>53</v>
      </c>
      <c r="F405" s="4" t="s">
        <v>95</v>
      </c>
      <c r="G405" s="4">
        <v>12.0</v>
      </c>
      <c r="H405" s="13">
        <v>465.0</v>
      </c>
      <c r="I405" s="13">
        <v>5580.0</v>
      </c>
      <c r="J405" s="4">
        <v>0.0</v>
      </c>
      <c r="K405" s="13">
        <v>0.0</v>
      </c>
      <c r="L405" s="13">
        <v>5580.0</v>
      </c>
      <c r="M405" s="4" t="s">
        <v>96</v>
      </c>
      <c r="N405" s="4" t="s">
        <v>43</v>
      </c>
      <c r="O405" s="4" t="s">
        <v>69</v>
      </c>
      <c r="P405" s="7"/>
      <c r="Q405" s="7"/>
      <c r="R405" s="7"/>
      <c r="S405" s="7"/>
      <c r="T405" s="7"/>
      <c r="U405" s="7"/>
      <c r="V405" s="7"/>
    </row>
    <row r="406" ht="14.25" customHeight="1">
      <c r="A406" s="4">
        <v>20132.0</v>
      </c>
      <c r="B406" s="11">
        <v>46005.0</v>
      </c>
      <c r="C406" s="4" t="s">
        <v>73</v>
      </c>
      <c r="D406" s="4" t="s">
        <v>52</v>
      </c>
      <c r="E406" s="4" t="s">
        <v>59</v>
      </c>
      <c r="F406" s="4" t="s">
        <v>85</v>
      </c>
      <c r="G406" s="4">
        <v>13.0</v>
      </c>
      <c r="H406" s="13">
        <v>274.0</v>
      </c>
      <c r="I406" s="13">
        <v>3562.0</v>
      </c>
      <c r="J406" s="4">
        <v>20.0</v>
      </c>
      <c r="K406" s="13">
        <v>712.0</v>
      </c>
      <c r="L406" s="13">
        <v>2850.0</v>
      </c>
      <c r="M406" s="4" t="s">
        <v>106</v>
      </c>
      <c r="N406" s="4" t="s">
        <v>56</v>
      </c>
      <c r="O406" s="4" t="s">
        <v>69</v>
      </c>
      <c r="P406" s="7"/>
      <c r="Q406" s="7"/>
      <c r="R406" s="7"/>
      <c r="S406" s="7"/>
      <c r="T406" s="7"/>
      <c r="U406" s="7"/>
      <c r="V406" s="7"/>
    </row>
    <row r="407" ht="14.25" customHeight="1">
      <c r="A407" s="4">
        <v>20228.0</v>
      </c>
      <c r="B407" s="11">
        <v>46005.0</v>
      </c>
      <c r="C407" s="4" t="s">
        <v>76</v>
      </c>
      <c r="D407" s="4" t="s">
        <v>64</v>
      </c>
      <c r="E407" s="4" t="s">
        <v>53</v>
      </c>
      <c r="F407" s="4" t="s">
        <v>102</v>
      </c>
      <c r="G407" s="4">
        <v>8.0</v>
      </c>
      <c r="H407" s="13">
        <v>1150.0</v>
      </c>
      <c r="I407" s="13">
        <v>9200.0</v>
      </c>
      <c r="J407" s="4">
        <v>20.0</v>
      </c>
      <c r="K407" s="13">
        <v>1840.0</v>
      </c>
      <c r="L407" s="13">
        <v>7360.0</v>
      </c>
      <c r="M407" s="4" t="s">
        <v>68</v>
      </c>
      <c r="N407" s="4" t="s">
        <v>72</v>
      </c>
      <c r="O407" s="4" t="s">
        <v>44</v>
      </c>
      <c r="P407" s="7"/>
      <c r="Q407" s="7"/>
      <c r="R407" s="7"/>
      <c r="S407" s="7"/>
      <c r="T407" s="7"/>
      <c r="U407" s="7"/>
      <c r="V407" s="7"/>
    </row>
    <row r="408" ht="14.25" customHeight="1">
      <c r="A408" s="4">
        <v>20032.0</v>
      </c>
      <c r="B408" s="11">
        <v>46007.0</v>
      </c>
      <c r="C408" s="4" t="s">
        <v>63</v>
      </c>
      <c r="D408" s="4" t="s">
        <v>64</v>
      </c>
      <c r="E408" s="4" t="s">
        <v>26</v>
      </c>
      <c r="F408" s="4" t="s">
        <v>74</v>
      </c>
      <c r="G408" s="4">
        <v>13.0</v>
      </c>
      <c r="H408" s="13">
        <v>536.0</v>
      </c>
      <c r="I408" s="13">
        <v>6968.0</v>
      </c>
      <c r="J408" s="4">
        <v>20.0</v>
      </c>
      <c r="K408" s="13">
        <v>1394.0</v>
      </c>
      <c r="L408" s="13">
        <v>5574.0</v>
      </c>
      <c r="M408" s="4" t="s">
        <v>68</v>
      </c>
      <c r="N408" s="4" t="s">
        <v>50</v>
      </c>
      <c r="O408" s="4" t="s">
        <v>44</v>
      </c>
      <c r="P408" s="7"/>
      <c r="Q408" s="7"/>
      <c r="R408" s="7"/>
      <c r="S408" s="7"/>
      <c r="T408" s="7"/>
      <c r="U408" s="7"/>
      <c r="V408" s="7"/>
    </row>
    <row r="409" ht="14.25" customHeight="1">
      <c r="A409" s="4">
        <v>20159.0</v>
      </c>
      <c r="B409" s="11">
        <v>46008.0</v>
      </c>
      <c r="C409" s="4" t="s">
        <v>51</v>
      </c>
      <c r="D409" s="4" t="s">
        <v>52</v>
      </c>
      <c r="E409" s="4" t="s">
        <v>53</v>
      </c>
      <c r="F409" s="4" t="s">
        <v>48</v>
      </c>
      <c r="G409" s="4">
        <v>2.0</v>
      </c>
      <c r="H409" s="13">
        <v>1199.0</v>
      </c>
      <c r="I409" s="13">
        <v>2398.0</v>
      </c>
      <c r="J409" s="4">
        <v>5.0</v>
      </c>
      <c r="K409" s="13">
        <v>120.0</v>
      </c>
      <c r="L409" s="13">
        <v>2278.0</v>
      </c>
      <c r="M409" s="4" t="s">
        <v>106</v>
      </c>
      <c r="N409" s="4" t="s">
        <v>72</v>
      </c>
      <c r="O409" s="4" t="s">
        <v>57</v>
      </c>
      <c r="P409" s="7"/>
      <c r="Q409" s="7"/>
      <c r="R409" s="7"/>
      <c r="S409" s="7"/>
      <c r="T409" s="7"/>
      <c r="U409" s="7"/>
      <c r="V409" s="7"/>
    </row>
    <row r="410" ht="14.25" customHeight="1">
      <c r="A410" s="4">
        <v>20219.0</v>
      </c>
      <c r="B410" s="11">
        <v>46008.0</v>
      </c>
      <c r="C410" s="4" t="s">
        <v>51</v>
      </c>
      <c r="D410" s="4" t="s">
        <v>52</v>
      </c>
      <c r="E410" s="4" t="s">
        <v>77</v>
      </c>
      <c r="F410" s="4" t="s">
        <v>78</v>
      </c>
      <c r="G410" s="4">
        <v>5.0</v>
      </c>
      <c r="H410" s="13">
        <v>3098.0</v>
      </c>
      <c r="I410" s="13">
        <v>15490.0</v>
      </c>
      <c r="J410" s="4">
        <v>0.0</v>
      </c>
      <c r="K410" s="13">
        <v>0.0</v>
      </c>
      <c r="L410" s="13">
        <v>15490.0</v>
      </c>
      <c r="M410" s="4" t="s">
        <v>61</v>
      </c>
      <c r="N410" s="4" t="s">
        <v>72</v>
      </c>
      <c r="O410" s="4" t="s">
        <v>44</v>
      </c>
      <c r="P410" s="7"/>
      <c r="Q410" s="7"/>
      <c r="R410" s="7"/>
      <c r="S410" s="7"/>
      <c r="T410" s="7"/>
      <c r="U410" s="7"/>
      <c r="V410" s="7"/>
    </row>
    <row r="411" ht="14.25" customHeight="1">
      <c r="A411" s="4">
        <v>20327.0</v>
      </c>
      <c r="B411" s="11">
        <v>46009.0</v>
      </c>
      <c r="C411" s="4" t="s">
        <v>76</v>
      </c>
      <c r="D411" s="4" t="s">
        <v>64</v>
      </c>
      <c r="E411" s="4" t="s">
        <v>53</v>
      </c>
      <c r="F411" s="4" t="s">
        <v>48</v>
      </c>
      <c r="G411" s="4">
        <v>6.0</v>
      </c>
      <c r="H411" s="13">
        <v>1125.0</v>
      </c>
      <c r="I411" s="13">
        <v>6750.0</v>
      </c>
      <c r="J411" s="4">
        <v>0.0</v>
      </c>
      <c r="K411" s="13">
        <v>0.0</v>
      </c>
      <c r="L411" s="13">
        <v>6750.0</v>
      </c>
      <c r="M411" s="4" t="s">
        <v>68</v>
      </c>
      <c r="N411" s="4" t="s">
        <v>50</v>
      </c>
      <c r="O411" s="4" t="s">
        <v>57</v>
      </c>
      <c r="P411" s="7"/>
      <c r="Q411" s="7"/>
      <c r="R411" s="7"/>
      <c r="S411" s="7"/>
      <c r="T411" s="7"/>
      <c r="U411" s="7"/>
      <c r="V411" s="7"/>
    </row>
    <row r="412" ht="14.25" customHeight="1">
      <c r="A412" s="4">
        <v>20055.0</v>
      </c>
      <c r="B412" s="11">
        <v>46011.0</v>
      </c>
      <c r="C412" s="4" t="s">
        <v>63</v>
      </c>
      <c r="D412" s="4" t="s">
        <v>64</v>
      </c>
      <c r="E412" s="4" t="s">
        <v>26</v>
      </c>
      <c r="F412" s="4" t="s">
        <v>94</v>
      </c>
      <c r="G412" s="4">
        <v>13.0</v>
      </c>
      <c r="H412" s="13">
        <v>428.0</v>
      </c>
      <c r="I412" s="13">
        <v>5564.0</v>
      </c>
      <c r="J412" s="4">
        <v>20.0</v>
      </c>
      <c r="K412" s="13">
        <v>1113.0</v>
      </c>
      <c r="L412" s="13">
        <v>4451.0</v>
      </c>
      <c r="M412" s="4" t="s">
        <v>49</v>
      </c>
      <c r="N412" s="4" t="s">
        <v>62</v>
      </c>
      <c r="O412" s="4" t="s">
        <v>44</v>
      </c>
      <c r="P412" s="7"/>
      <c r="Q412" s="7"/>
      <c r="R412" s="7"/>
      <c r="S412" s="7"/>
      <c r="T412" s="7"/>
      <c r="U412" s="7"/>
      <c r="V412" s="7"/>
    </row>
    <row r="413" ht="14.25" customHeight="1">
      <c r="A413" s="4">
        <v>20084.0</v>
      </c>
      <c r="B413" s="11">
        <v>46012.0</v>
      </c>
      <c r="C413" s="4" t="s">
        <v>51</v>
      </c>
      <c r="D413" s="4" t="s">
        <v>52</v>
      </c>
      <c r="E413" s="4" t="s">
        <v>26</v>
      </c>
      <c r="F413" s="4" t="s">
        <v>74</v>
      </c>
      <c r="G413" s="4">
        <v>14.0</v>
      </c>
      <c r="H413" s="13">
        <v>509.0</v>
      </c>
      <c r="I413" s="13">
        <v>7126.0</v>
      </c>
      <c r="J413" s="4">
        <v>20.0</v>
      </c>
      <c r="K413" s="13">
        <v>1425.0</v>
      </c>
      <c r="L413" s="13">
        <v>5701.0</v>
      </c>
      <c r="M413" s="4" t="s">
        <v>87</v>
      </c>
      <c r="N413" s="4" t="s">
        <v>62</v>
      </c>
      <c r="O413" s="4" t="s">
        <v>57</v>
      </c>
      <c r="P413" s="7"/>
      <c r="Q413" s="7"/>
      <c r="R413" s="7"/>
      <c r="S413" s="7"/>
      <c r="T413" s="7"/>
      <c r="U413" s="7"/>
      <c r="V413" s="7"/>
    </row>
    <row r="414" ht="14.25" customHeight="1">
      <c r="A414" s="4">
        <v>20251.0</v>
      </c>
      <c r="B414" s="11">
        <v>46014.0</v>
      </c>
      <c r="C414" s="4" t="s">
        <v>84</v>
      </c>
      <c r="D414" s="4" t="s">
        <v>46</v>
      </c>
      <c r="E414" s="4" t="s">
        <v>26</v>
      </c>
      <c r="F414" s="4" t="s">
        <v>111</v>
      </c>
      <c r="G414" s="4">
        <v>12.0</v>
      </c>
      <c r="H414" s="13">
        <v>255.0</v>
      </c>
      <c r="I414" s="13">
        <v>3060.0</v>
      </c>
      <c r="J414" s="4">
        <v>0.0</v>
      </c>
      <c r="K414" s="13">
        <v>0.0</v>
      </c>
      <c r="L414" s="13">
        <v>3060.0</v>
      </c>
      <c r="M414" s="4" t="s">
        <v>71</v>
      </c>
      <c r="N414" s="4" t="s">
        <v>62</v>
      </c>
      <c r="O414" s="4" t="s">
        <v>44</v>
      </c>
      <c r="P414" s="7"/>
      <c r="Q414" s="7"/>
      <c r="R414" s="7"/>
      <c r="S414" s="7"/>
      <c r="T414" s="7"/>
      <c r="U414" s="7"/>
      <c r="V414" s="7"/>
    </row>
    <row r="415" ht="14.25" customHeight="1">
      <c r="A415" s="4">
        <v>20077.0</v>
      </c>
      <c r="B415" s="11">
        <v>46015.0</v>
      </c>
      <c r="C415" s="4" t="s">
        <v>82</v>
      </c>
      <c r="D415" s="4" t="s">
        <v>52</v>
      </c>
      <c r="E415" s="4" t="s">
        <v>26</v>
      </c>
      <c r="F415" s="4" t="s">
        <v>104</v>
      </c>
      <c r="G415" s="4">
        <v>11.0</v>
      </c>
      <c r="H415" s="13">
        <v>365.0</v>
      </c>
      <c r="I415" s="13">
        <v>4015.0</v>
      </c>
      <c r="J415" s="4">
        <v>0.0</v>
      </c>
      <c r="K415" s="13">
        <v>0.0</v>
      </c>
      <c r="L415" s="13">
        <v>4015.0</v>
      </c>
      <c r="M415" s="4" t="s">
        <v>87</v>
      </c>
      <c r="N415" s="4" t="s">
        <v>43</v>
      </c>
      <c r="O415" s="4" t="s">
        <v>69</v>
      </c>
      <c r="P415" s="7"/>
      <c r="Q415" s="7"/>
      <c r="R415" s="7"/>
      <c r="S415" s="7"/>
      <c r="T415" s="7"/>
      <c r="U415" s="7"/>
      <c r="V415" s="7"/>
    </row>
    <row r="416" ht="14.25" customHeight="1">
      <c r="A416" s="4">
        <v>20171.0</v>
      </c>
      <c r="B416" s="11">
        <v>46016.0</v>
      </c>
      <c r="C416" s="4" t="s">
        <v>58</v>
      </c>
      <c r="D416" s="4" t="s">
        <v>25</v>
      </c>
      <c r="E416" s="4" t="s">
        <v>77</v>
      </c>
      <c r="F416" s="4" t="s">
        <v>90</v>
      </c>
      <c r="G416" s="4">
        <v>8.0</v>
      </c>
      <c r="H416" s="13">
        <v>4330.0</v>
      </c>
      <c r="I416" s="13">
        <v>34640.0</v>
      </c>
      <c r="J416" s="4">
        <v>5.0</v>
      </c>
      <c r="K416" s="13">
        <v>1732.0</v>
      </c>
      <c r="L416" s="13">
        <v>32908.0</v>
      </c>
      <c r="M416" s="4" t="s">
        <v>87</v>
      </c>
      <c r="N416" s="4" t="s">
        <v>56</v>
      </c>
      <c r="O416" s="4" t="s">
        <v>44</v>
      </c>
      <c r="P416" s="7"/>
      <c r="Q416" s="7"/>
      <c r="R416" s="7"/>
      <c r="S416" s="7"/>
      <c r="T416" s="7"/>
      <c r="U416" s="7"/>
      <c r="V416" s="7"/>
    </row>
    <row r="417" ht="14.25" customHeight="1">
      <c r="A417" s="4">
        <v>20062.0</v>
      </c>
      <c r="B417" s="11">
        <v>46017.0</v>
      </c>
      <c r="C417" s="4" t="s">
        <v>73</v>
      </c>
      <c r="D417" s="4" t="s">
        <v>52</v>
      </c>
      <c r="E417" s="4" t="s">
        <v>53</v>
      </c>
      <c r="F417" s="4" t="s">
        <v>95</v>
      </c>
      <c r="G417" s="4">
        <v>5.0</v>
      </c>
      <c r="H417" s="13">
        <v>1776.0</v>
      </c>
      <c r="I417" s="13">
        <v>8880.0</v>
      </c>
      <c r="J417" s="4">
        <v>0.0</v>
      </c>
      <c r="K417" s="13">
        <v>0.0</v>
      </c>
      <c r="L417" s="13">
        <v>8880.0</v>
      </c>
      <c r="M417" s="4" t="s">
        <v>87</v>
      </c>
      <c r="N417" s="4" t="s">
        <v>50</v>
      </c>
      <c r="O417" s="4" t="s">
        <v>69</v>
      </c>
      <c r="P417" s="7"/>
      <c r="Q417" s="7"/>
      <c r="R417" s="7"/>
      <c r="S417" s="7"/>
      <c r="T417" s="7"/>
      <c r="U417" s="7"/>
      <c r="V417" s="7"/>
    </row>
    <row r="418" ht="14.25" customHeight="1">
      <c r="A418" s="4">
        <v>20243.0</v>
      </c>
      <c r="B418" s="11">
        <v>46018.0</v>
      </c>
      <c r="C418" s="4" t="s">
        <v>89</v>
      </c>
      <c r="D418" s="4" t="s">
        <v>46</v>
      </c>
      <c r="E418" s="4" t="s">
        <v>53</v>
      </c>
      <c r="F418" s="4" t="s">
        <v>54</v>
      </c>
      <c r="G418" s="4">
        <v>5.0</v>
      </c>
      <c r="H418" s="13">
        <v>1690.0</v>
      </c>
      <c r="I418" s="13">
        <v>8450.0</v>
      </c>
      <c r="J418" s="4">
        <v>20.0</v>
      </c>
      <c r="K418" s="13">
        <v>1690.0</v>
      </c>
      <c r="L418" s="13">
        <v>6760.0</v>
      </c>
      <c r="M418" s="4" t="s">
        <v>61</v>
      </c>
      <c r="N418" s="4" t="s">
        <v>62</v>
      </c>
      <c r="O418" s="4" t="s">
        <v>44</v>
      </c>
      <c r="P418" s="7"/>
      <c r="Q418" s="7"/>
      <c r="R418" s="7"/>
      <c r="S418" s="7"/>
      <c r="T418" s="7"/>
      <c r="U418" s="7"/>
      <c r="V418" s="7"/>
    </row>
    <row r="419" ht="14.25" customHeight="1">
      <c r="A419" s="4">
        <v>20400.0</v>
      </c>
      <c r="B419" s="11">
        <v>46018.0</v>
      </c>
      <c r="C419" s="4" t="s">
        <v>92</v>
      </c>
      <c r="D419" s="4" t="s">
        <v>25</v>
      </c>
      <c r="E419" s="4" t="s">
        <v>26</v>
      </c>
      <c r="F419" s="4" t="s">
        <v>70</v>
      </c>
      <c r="G419" s="4">
        <v>5.0</v>
      </c>
      <c r="H419" s="13">
        <v>476.0</v>
      </c>
      <c r="I419" s="13">
        <v>2380.0</v>
      </c>
      <c r="J419" s="4">
        <v>5.0</v>
      </c>
      <c r="K419" s="13">
        <v>119.0</v>
      </c>
      <c r="L419" s="13">
        <v>2261.0</v>
      </c>
      <c r="M419" s="4" t="s">
        <v>61</v>
      </c>
      <c r="N419" s="4" t="s">
        <v>56</v>
      </c>
      <c r="O419" s="4" t="s">
        <v>69</v>
      </c>
      <c r="P419" s="7"/>
      <c r="Q419" s="7"/>
      <c r="R419" s="7"/>
      <c r="S419" s="7"/>
      <c r="T419" s="7"/>
      <c r="U419" s="7"/>
      <c r="V419" s="7"/>
    </row>
    <row r="420" ht="14.25" customHeight="1">
      <c r="A420" s="4">
        <v>20064.0</v>
      </c>
      <c r="B420" s="11">
        <v>46020.0</v>
      </c>
      <c r="C420" s="4" t="s">
        <v>76</v>
      </c>
      <c r="D420" s="4" t="s">
        <v>64</v>
      </c>
      <c r="E420" s="4" t="s">
        <v>53</v>
      </c>
      <c r="F420" s="4" t="s">
        <v>102</v>
      </c>
      <c r="G420" s="4">
        <v>1.0</v>
      </c>
      <c r="H420" s="13">
        <v>557.0</v>
      </c>
      <c r="I420" s="13">
        <v>557.0</v>
      </c>
      <c r="J420" s="4">
        <v>0.0</v>
      </c>
      <c r="K420" s="13">
        <v>0.0</v>
      </c>
      <c r="L420" s="13">
        <v>557.0</v>
      </c>
      <c r="M420" s="4" t="s">
        <v>81</v>
      </c>
      <c r="N420" s="4" t="s">
        <v>56</v>
      </c>
      <c r="O420" s="4" t="s">
        <v>44</v>
      </c>
      <c r="P420" s="7"/>
      <c r="Q420" s="7"/>
      <c r="R420" s="7"/>
      <c r="S420" s="7"/>
      <c r="T420" s="7"/>
      <c r="U420" s="7"/>
      <c r="V420" s="7"/>
    </row>
    <row r="421" ht="14.25" customHeight="1">
      <c r="A421" s="4">
        <v>20230.0</v>
      </c>
      <c r="B421" s="11">
        <v>46021.0</v>
      </c>
      <c r="C421" s="4" t="s">
        <v>58</v>
      </c>
      <c r="D421" s="4" t="s">
        <v>25</v>
      </c>
      <c r="E421" s="4" t="s">
        <v>26</v>
      </c>
      <c r="F421" s="4" t="s">
        <v>74</v>
      </c>
      <c r="G421" s="4">
        <v>11.0</v>
      </c>
      <c r="H421" s="13">
        <v>231.0</v>
      </c>
      <c r="I421" s="13">
        <v>2541.0</v>
      </c>
      <c r="J421" s="4">
        <v>10.0</v>
      </c>
      <c r="K421" s="13">
        <v>254.0</v>
      </c>
      <c r="L421" s="13">
        <v>2287.0</v>
      </c>
      <c r="M421" s="4" t="s">
        <v>68</v>
      </c>
      <c r="N421" s="4" t="s">
        <v>56</v>
      </c>
      <c r="O421" s="4" t="s">
        <v>69</v>
      </c>
      <c r="P421" s="7"/>
      <c r="Q421" s="7"/>
      <c r="R421" s="7"/>
      <c r="S421" s="7"/>
      <c r="T421" s="7"/>
      <c r="U421" s="7"/>
      <c r="V421" s="7"/>
    </row>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c r="I668" s="15" t="str">
        <f>uni</f>
        <v>#NAME?</v>
      </c>
    </row>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A$1:$V$421"/>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7.86"/>
    <col customWidth="1" min="2" max="2" width="19.43"/>
  </cols>
  <sheetData>
    <row r="1"/>
    <row r="2"/>
    <row r="3"/>
    <row r="4"/>
    <row r="5"/>
    <row r="6"/>
    <row r="7"/>
    <row r="8"/>
    <row r="9"/>
    <row r="10"/>
    <row r="11"/>
    <row r="12"/>
    <row r="13"/>
    <row r="14"/>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3" width="12.0"/>
    <col customWidth="1" min="4" max="4" width="13.86"/>
    <col customWidth="1" min="5" max="15" width="12.0"/>
  </cols>
  <sheetData>
    <row r="1"/>
    <row r="2"/>
    <row r="3"/>
    <row r="4"/>
    <row r="5"/>
    <row r="6"/>
    <row r="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00.0"/>
    <col customWidth="1" min="3" max="26" width="8.71"/>
  </cols>
  <sheetData>
    <row r="1" ht="19.5" customHeight="1">
      <c r="B1" s="2" t="s">
        <v>1</v>
      </c>
    </row>
    <row r="2" ht="30.0" customHeight="1">
      <c r="B2" s="5" t="s">
        <v>4</v>
      </c>
      <c r="G2" s="6"/>
    </row>
    <row r="3" ht="30.0" customHeight="1">
      <c r="B3" s="5" t="s">
        <v>13</v>
      </c>
    </row>
    <row r="4" ht="30.0" customHeight="1">
      <c r="B4" s="5" t="s">
        <v>17</v>
      </c>
    </row>
    <row r="5" ht="30.0" customHeight="1">
      <c r="B5" s="5" t="s">
        <v>19</v>
      </c>
    </row>
    <row r="6" ht="30.0" customHeight="1">
      <c r="B6" s="5" t="s">
        <v>21</v>
      </c>
    </row>
    <row r="7" ht="14.25" customHeight="1">
      <c r="B7" s="8"/>
    </row>
    <row r="8" ht="19.5" customHeight="1">
      <c r="B8" s="9" t="s">
        <v>22</v>
      </c>
    </row>
    <row r="9" ht="30.0" customHeight="1">
      <c r="B9" s="12" t="s">
        <v>23</v>
      </c>
    </row>
    <row r="10" ht="14.25" customHeight="1"/>
    <row r="11" ht="19.5" customHeight="1">
      <c r="B11" s="2" t="s">
        <v>28</v>
      </c>
    </row>
    <row r="12" ht="30.0" customHeight="1">
      <c r="B12" s="5" t="s">
        <v>29</v>
      </c>
    </row>
    <row r="13" ht="30.0" customHeight="1">
      <c r="B13" s="5" t="s">
        <v>30</v>
      </c>
    </row>
    <row r="14" ht="30.0" customHeight="1">
      <c r="B14" s="5" t="s">
        <v>31</v>
      </c>
    </row>
    <row r="15" ht="30.0" customHeight="1">
      <c r="B15" s="5" t="s">
        <v>32</v>
      </c>
    </row>
    <row r="16" ht="30.0" customHeight="1">
      <c r="B16" s="5" t="s">
        <v>33</v>
      </c>
    </row>
    <row r="17" ht="14.25" customHeight="1">
      <c r="B17" s="8"/>
    </row>
    <row r="18" ht="19.5" customHeight="1">
      <c r="B18" s="9" t="s">
        <v>22</v>
      </c>
    </row>
    <row r="19" ht="30.0" customHeight="1">
      <c r="B19" s="12" t="s">
        <v>34</v>
      </c>
    </row>
    <row r="20" ht="14.25" customHeight="1"/>
    <row r="21" ht="19.5" customHeight="1">
      <c r="B21" s="2" t="s">
        <v>35</v>
      </c>
    </row>
    <row r="22" ht="30.0" customHeight="1">
      <c r="B22" s="5" t="s">
        <v>36</v>
      </c>
    </row>
    <row r="23" ht="30.0" customHeight="1">
      <c r="B23" s="5" t="s">
        <v>37</v>
      </c>
    </row>
    <row r="24" ht="18.0" customHeight="1">
      <c r="B24" s="5" t="s">
        <v>38</v>
      </c>
    </row>
    <row r="25" ht="30.0" customHeight="1">
      <c r="B25" s="5" t="s">
        <v>39</v>
      </c>
    </row>
    <row r="26" ht="30.0" customHeight="1">
      <c r="B26" s="5" t="s">
        <v>40</v>
      </c>
    </row>
    <row r="27" ht="14.25" customHeight="1">
      <c r="B27" s="8"/>
    </row>
    <row r="28" ht="19.5" customHeight="1">
      <c r="B28" s="9" t="s">
        <v>22</v>
      </c>
    </row>
    <row r="29" ht="30.0" customHeight="1">
      <c r="B29" s="12" t="s">
        <v>41</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0996110425955792" right="0.34152357461341437" top="0.5407456598045728"/>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6" t="s">
        <v>0</v>
      </c>
      <c r="B1" s="17" t="s">
        <v>2</v>
      </c>
      <c r="C1" s="18" t="s">
        <v>3</v>
      </c>
      <c r="D1" s="18" t="s">
        <v>5</v>
      </c>
      <c r="E1" s="18" t="s">
        <v>6</v>
      </c>
      <c r="F1" s="18" t="s">
        <v>7</v>
      </c>
      <c r="G1" s="18" t="s">
        <v>8</v>
      </c>
      <c r="H1" s="18" t="s">
        <v>9</v>
      </c>
      <c r="I1" s="18" t="s">
        <v>10</v>
      </c>
      <c r="J1" s="18" t="s">
        <v>11</v>
      </c>
      <c r="K1" s="18" t="s">
        <v>12</v>
      </c>
      <c r="L1" s="18" t="s">
        <v>14</v>
      </c>
      <c r="M1" s="18" t="s">
        <v>15</v>
      </c>
      <c r="N1" s="18" t="s">
        <v>16</v>
      </c>
      <c r="O1" s="18" t="s">
        <v>18</v>
      </c>
      <c r="P1" s="19" t="s">
        <v>112</v>
      </c>
    </row>
    <row r="2">
      <c r="A2" s="20">
        <v>20390.0</v>
      </c>
      <c r="B2" s="21">
        <v>45658.0</v>
      </c>
      <c r="C2" s="22" t="s">
        <v>51</v>
      </c>
      <c r="D2" s="22" t="s">
        <v>25</v>
      </c>
      <c r="E2" s="23" t="s">
        <v>26</v>
      </c>
      <c r="F2" s="20" t="s">
        <v>27</v>
      </c>
      <c r="G2" s="20">
        <v>6.0</v>
      </c>
      <c r="H2" s="24">
        <v>1138.0</v>
      </c>
      <c r="I2" s="24">
        <v>6828.0</v>
      </c>
      <c r="J2" s="20">
        <v>20.0</v>
      </c>
      <c r="K2" s="24">
        <v>1366.0</v>
      </c>
      <c r="L2" s="24">
        <v>5462.0</v>
      </c>
      <c r="M2" s="22" t="s">
        <v>87</v>
      </c>
      <c r="N2" s="20" t="s">
        <v>43</v>
      </c>
      <c r="O2" s="20" t="s">
        <v>44</v>
      </c>
      <c r="P2" s="15">
        <f t="shared" ref="P2:P421" si="1">MONTH(B2)</f>
        <v>1</v>
      </c>
    </row>
    <row r="3">
      <c r="A3" s="25">
        <v>20048.0</v>
      </c>
      <c r="B3" s="26">
        <v>45661.0</v>
      </c>
      <c r="C3" s="25" t="s">
        <v>45</v>
      </c>
      <c r="D3" s="25" t="s">
        <v>46</v>
      </c>
      <c r="E3" s="27" t="s">
        <v>47</v>
      </c>
      <c r="F3" s="25" t="s">
        <v>48</v>
      </c>
      <c r="G3" s="25">
        <v>14.0</v>
      </c>
      <c r="H3" s="28">
        <v>1829.0</v>
      </c>
      <c r="I3" s="28">
        <v>25606.0</v>
      </c>
      <c r="J3" s="25">
        <v>20.0</v>
      </c>
      <c r="K3" s="28">
        <v>5121.0</v>
      </c>
      <c r="L3" s="28">
        <v>20485.0</v>
      </c>
      <c r="M3" s="25" t="s">
        <v>49</v>
      </c>
      <c r="N3" s="25" t="s">
        <v>50</v>
      </c>
      <c r="O3" s="25" t="s">
        <v>44</v>
      </c>
      <c r="P3" s="15">
        <f t="shared" si="1"/>
        <v>1</v>
      </c>
    </row>
    <row r="4">
      <c r="A4" s="29">
        <v>20221.0</v>
      </c>
      <c r="B4" s="26">
        <v>45661.0</v>
      </c>
      <c r="C4" s="29" t="s">
        <v>51</v>
      </c>
      <c r="D4" s="29" t="s">
        <v>52</v>
      </c>
      <c r="E4" s="29" t="s">
        <v>53</v>
      </c>
      <c r="F4" s="29" t="s">
        <v>54</v>
      </c>
      <c r="G4" s="29">
        <v>7.0</v>
      </c>
      <c r="H4" s="30">
        <v>984.0</v>
      </c>
      <c r="I4" s="30">
        <v>6888.0</v>
      </c>
      <c r="J4" s="29">
        <v>0.0</v>
      </c>
      <c r="K4" s="30">
        <v>0.0</v>
      </c>
      <c r="L4" s="30">
        <v>6888.0</v>
      </c>
      <c r="M4" s="29" t="s">
        <v>55</v>
      </c>
      <c r="N4" s="29" t="s">
        <v>56</v>
      </c>
      <c r="O4" s="29" t="s">
        <v>57</v>
      </c>
      <c r="P4" s="15">
        <f t="shared" si="1"/>
        <v>1</v>
      </c>
    </row>
    <row r="5">
      <c r="A5" s="25">
        <v>20164.0</v>
      </c>
      <c r="B5" s="26">
        <v>45662.0</v>
      </c>
      <c r="C5" s="25" t="s">
        <v>58</v>
      </c>
      <c r="D5" s="25" t="s">
        <v>25</v>
      </c>
      <c r="E5" s="25" t="s">
        <v>59</v>
      </c>
      <c r="F5" s="25" t="s">
        <v>60</v>
      </c>
      <c r="G5" s="25">
        <v>15.0</v>
      </c>
      <c r="H5" s="28">
        <v>266.0</v>
      </c>
      <c r="I5" s="28">
        <v>3990.0</v>
      </c>
      <c r="J5" s="25">
        <v>0.0</v>
      </c>
      <c r="K5" s="28">
        <v>0.0</v>
      </c>
      <c r="L5" s="28">
        <v>3990.0</v>
      </c>
      <c r="M5" s="25" t="s">
        <v>61</v>
      </c>
      <c r="N5" s="25" t="s">
        <v>62</v>
      </c>
      <c r="O5" s="25" t="s">
        <v>57</v>
      </c>
      <c r="P5" s="15">
        <f t="shared" si="1"/>
        <v>1</v>
      </c>
    </row>
    <row r="6">
      <c r="A6" s="20">
        <v>20378.0</v>
      </c>
      <c r="B6" s="26">
        <v>45663.0</v>
      </c>
      <c r="C6" s="20" t="s">
        <v>63</v>
      </c>
      <c r="D6" s="20" t="s">
        <v>64</v>
      </c>
      <c r="E6" s="20" t="s">
        <v>47</v>
      </c>
      <c r="F6" s="20" t="s">
        <v>65</v>
      </c>
      <c r="G6" s="31">
        <v>13.0</v>
      </c>
      <c r="H6" s="32">
        <v>932.0</v>
      </c>
      <c r="I6" s="33">
        <v>12116.0</v>
      </c>
      <c r="J6" s="20">
        <v>10.0</v>
      </c>
      <c r="K6" s="24">
        <v>1212.0</v>
      </c>
      <c r="L6" s="24">
        <v>10904.0</v>
      </c>
      <c r="M6" s="20" t="s">
        <v>49</v>
      </c>
      <c r="N6" s="20" t="s">
        <v>50</v>
      </c>
      <c r="O6" s="20" t="s">
        <v>57</v>
      </c>
      <c r="P6" s="15">
        <f t="shared" si="1"/>
        <v>1</v>
      </c>
    </row>
    <row r="7">
      <c r="A7" s="34">
        <v>20207.0</v>
      </c>
      <c r="B7" s="26">
        <v>45666.0</v>
      </c>
      <c r="C7" s="34" t="s">
        <v>66</v>
      </c>
      <c r="D7" s="34" t="s">
        <v>46</v>
      </c>
      <c r="E7" s="34" t="s">
        <v>47</v>
      </c>
      <c r="F7" s="34" t="s">
        <v>67</v>
      </c>
      <c r="G7" s="34">
        <v>1.0</v>
      </c>
      <c r="H7" s="35">
        <v>1962.0</v>
      </c>
      <c r="I7" s="35">
        <v>1962.0</v>
      </c>
      <c r="J7" s="34">
        <v>20.0</v>
      </c>
      <c r="K7" s="35">
        <v>392.0</v>
      </c>
      <c r="L7" s="35">
        <v>1570.0</v>
      </c>
      <c r="M7" s="34" t="s">
        <v>68</v>
      </c>
      <c r="N7" s="34" t="s">
        <v>62</v>
      </c>
      <c r="O7" s="34" t="s">
        <v>69</v>
      </c>
      <c r="P7" s="15">
        <f t="shared" si="1"/>
        <v>1</v>
      </c>
    </row>
    <row r="8">
      <c r="A8" s="20">
        <v>20366.0</v>
      </c>
      <c r="B8" s="26">
        <v>45666.0</v>
      </c>
      <c r="C8" s="20" t="s">
        <v>51</v>
      </c>
      <c r="D8" s="20" t="s">
        <v>52</v>
      </c>
      <c r="E8" s="20" t="s">
        <v>26</v>
      </c>
      <c r="F8" s="20" t="s">
        <v>70</v>
      </c>
      <c r="G8" s="20">
        <v>1.0</v>
      </c>
      <c r="H8" s="24">
        <v>184.0</v>
      </c>
      <c r="I8" s="24">
        <v>184.0</v>
      </c>
      <c r="J8" s="20">
        <v>15.0</v>
      </c>
      <c r="K8" s="24">
        <v>28.0</v>
      </c>
      <c r="L8" s="24">
        <v>156.0</v>
      </c>
      <c r="M8" s="20" t="s">
        <v>71</v>
      </c>
      <c r="N8" s="20" t="s">
        <v>72</v>
      </c>
      <c r="O8" s="20" t="s">
        <v>57</v>
      </c>
      <c r="P8" s="15">
        <f t="shared" si="1"/>
        <v>1</v>
      </c>
    </row>
    <row r="9">
      <c r="A9" s="34">
        <v>20117.0</v>
      </c>
      <c r="B9" s="26">
        <v>45667.0</v>
      </c>
      <c r="C9" s="34" t="s">
        <v>73</v>
      </c>
      <c r="D9" s="34" t="s">
        <v>52</v>
      </c>
      <c r="E9" s="34" t="s">
        <v>26</v>
      </c>
      <c r="F9" s="34" t="s">
        <v>74</v>
      </c>
      <c r="G9" s="34">
        <v>10.0</v>
      </c>
      <c r="H9" s="35">
        <v>559.0</v>
      </c>
      <c r="I9" s="35">
        <v>5590.0</v>
      </c>
      <c r="J9" s="34">
        <v>0.0</v>
      </c>
      <c r="K9" s="35">
        <v>0.0</v>
      </c>
      <c r="L9" s="35">
        <v>5590.0</v>
      </c>
      <c r="M9" s="34" t="s">
        <v>71</v>
      </c>
      <c r="N9" s="34" t="s">
        <v>43</v>
      </c>
      <c r="O9" s="34" t="s">
        <v>69</v>
      </c>
      <c r="P9" s="15">
        <f t="shared" si="1"/>
        <v>1</v>
      </c>
    </row>
    <row r="10">
      <c r="A10" s="29">
        <v>20129.0</v>
      </c>
      <c r="B10" s="26">
        <v>45667.0</v>
      </c>
      <c r="C10" s="29" t="s">
        <v>45</v>
      </c>
      <c r="D10" s="29" t="s">
        <v>46</v>
      </c>
      <c r="E10" s="29" t="s">
        <v>53</v>
      </c>
      <c r="F10" s="29" t="s">
        <v>75</v>
      </c>
      <c r="G10" s="29">
        <v>4.0</v>
      </c>
      <c r="H10" s="30">
        <v>1294.0</v>
      </c>
      <c r="I10" s="30">
        <v>5176.0</v>
      </c>
      <c r="J10" s="29">
        <v>0.0</v>
      </c>
      <c r="K10" s="30">
        <v>0.0</v>
      </c>
      <c r="L10" s="30">
        <v>5176.0</v>
      </c>
      <c r="M10" s="29" t="s">
        <v>68</v>
      </c>
      <c r="N10" s="29" t="s">
        <v>62</v>
      </c>
      <c r="O10" s="29" t="s">
        <v>44</v>
      </c>
      <c r="P10" s="15">
        <f t="shared" si="1"/>
        <v>1</v>
      </c>
    </row>
    <row r="11">
      <c r="A11" s="34">
        <v>20053.0</v>
      </c>
      <c r="B11" s="26">
        <v>45668.0</v>
      </c>
      <c r="C11" s="34" t="s">
        <v>76</v>
      </c>
      <c r="D11" s="34" t="s">
        <v>64</v>
      </c>
      <c r="E11" s="34" t="s">
        <v>77</v>
      </c>
      <c r="F11" s="34" t="s">
        <v>78</v>
      </c>
      <c r="G11" s="34">
        <v>8.0</v>
      </c>
      <c r="H11" s="35">
        <v>5520.0</v>
      </c>
      <c r="I11" s="35">
        <v>44160.0</v>
      </c>
      <c r="J11" s="34">
        <v>20.0</v>
      </c>
      <c r="K11" s="35">
        <v>8832.0</v>
      </c>
      <c r="L11" s="35">
        <v>35328.0</v>
      </c>
      <c r="M11" s="34" t="s">
        <v>55</v>
      </c>
      <c r="N11" s="34" t="s">
        <v>50</v>
      </c>
      <c r="O11" s="34" t="s">
        <v>57</v>
      </c>
      <c r="P11" s="15">
        <f t="shared" si="1"/>
        <v>1</v>
      </c>
    </row>
    <row r="12">
      <c r="A12" s="20">
        <v>20140.0</v>
      </c>
      <c r="B12" s="26">
        <v>45668.0</v>
      </c>
      <c r="C12" s="20" t="s">
        <v>51</v>
      </c>
      <c r="D12" s="20" t="s">
        <v>52</v>
      </c>
      <c r="E12" s="20" t="s">
        <v>59</v>
      </c>
      <c r="F12" s="20" t="s">
        <v>79</v>
      </c>
      <c r="G12" s="20">
        <v>11.0</v>
      </c>
      <c r="H12" s="24">
        <v>442.0</v>
      </c>
      <c r="I12" s="24">
        <v>4862.0</v>
      </c>
      <c r="J12" s="20">
        <v>0.0</v>
      </c>
      <c r="K12" s="24">
        <v>0.0</v>
      </c>
      <c r="L12" s="24">
        <v>4862.0</v>
      </c>
      <c r="M12" s="20" t="s">
        <v>71</v>
      </c>
      <c r="N12" s="20" t="s">
        <v>72</v>
      </c>
      <c r="O12" s="20" t="s">
        <v>69</v>
      </c>
      <c r="P12" s="15">
        <f t="shared" si="1"/>
        <v>1</v>
      </c>
    </row>
    <row r="13">
      <c r="A13" s="34">
        <v>20287.0</v>
      </c>
      <c r="B13" s="26">
        <v>45669.0</v>
      </c>
      <c r="C13" s="34" t="s">
        <v>76</v>
      </c>
      <c r="D13" s="34" t="s">
        <v>64</v>
      </c>
      <c r="E13" s="34" t="s">
        <v>47</v>
      </c>
      <c r="F13" s="34" t="s">
        <v>65</v>
      </c>
      <c r="G13" s="34">
        <v>13.0</v>
      </c>
      <c r="H13" s="35">
        <v>496.0</v>
      </c>
      <c r="I13" s="35">
        <v>6448.0</v>
      </c>
      <c r="J13" s="36">
        <v>0.0</v>
      </c>
      <c r="K13" s="35">
        <v>0.0</v>
      </c>
      <c r="L13" s="35">
        <v>6448.0</v>
      </c>
      <c r="M13" s="34" t="s">
        <v>61</v>
      </c>
      <c r="N13" s="34" t="s">
        <v>56</v>
      </c>
      <c r="O13" s="34" t="s">
        <v>69</v>
      </c>
      <c r="P13" s="15">
        <f t="shared" si="1"/>
        <v>1</v>
      </c>
    </row>
    <row r="14">
      <c r="A14" s="20">
        <v>20328.0</v>
      </c>
      <c r="B14" s="26">
        <v>45669.0</v>
      </c>
      <c r="C14" s="20" t="s">
        <v>80</v>
      </c>
      <c r="D14" s="20" t="s">
        <v>64</v>
      </c>
      <c r="E14" s="20" t="s">
        <v>26</v>
      </c>
      <c r="F14" s="20" t="s">
        <v>74</v>
      </c>
      <c r="G14" s="20">
        <v>12.0</v>
      </c>
      <c r="H14" s="24">
        <v>158.0</v>
      </c>
      <c r="I14" s="24">
        <v>1896.0</v>
      </c>
      <c r="J14" s="20">
        <v>10.0</v>
      </c>
      <c r="K14" s="24">
        <v>190.0</v>
      </c>
      <c r="L14" s="24">
        <v>1706.0</v>
      </c>
      <c r="M14" s="20" t="s">
        <v>81</v>
      </c>
      <c r="N14" s="20" t="s">
        <v>56</v>
      </c>
      <c r="O14" s="20" t="s">
        <v>69</v>
      </c>
      <c r="P14" s="15">
        <f t="shared" si="1"/>
        <v>1</v>
      </c>
    </row>
    <row r="15">
      <c r="A15" s="34">
        <v>20033.0</v>
      </c>
      <c r="B15" s="26">
        <v>45670.0</v>
      </c>
      <c r="C15" s="34" t="s">
        <v>80</v>
      </c>
      <c r="D15" s="34" t="s">
        <v>64</v>
      </c>
      <c r="E15" s="34" t="s">
        <v>53</v>
      </c>
      <c r="F15" s="34" t="s">
        <v>48</v>
      </c>
      <c r="G15" s="34">
        <v>13.0</v>
      </c>
      <c r="H15" s="35">
        <v>625.0</v>
      </c>
      <c r="I15" s="35">
        <v>8125.0</v>
      </c>
      <c r="J15" s="34">
        <v>5.0</v>
      </c>
      <c r="K15" s="35">
        <v>406.0</v>
      </c>
      <c r="L15" s="35">
        <v>7719.0</v>
      </c>
      <c r="M15" s="34" t="s">
        <v>81</v>
      </c>
      <c r="N15" s="34" t="s">
        <v>43</v>
      </c>
      <c r="O15" s="34" t="s">
        <v>69</v>
      </c>
      <c r="P15" s="15">
        <f t="shared" si="1"/>
        <v>1</v>
      </c>
    </row>
    <row r="16">
      <c r="A16" s="29">
        <v>20403.0</v>
      </c>
      <c r="B16" s="26">
        <v>45672.0</v>
      </c>
      <c r="C16" s="29" t="s">
        <v>82</v>
      </c>
      <c r="D16" s="29" t="s">
        <v>52</v>
      </c>
      <c r="E16" s="29" t="s">
        <v>26</v>
      </c>
      <c r="F16" s="29" t="s">
        <v>74</v>
      </c>
      <c r="G16" s="29">
        <v>2.0</v>
      </c>
      <c r="H16" s="30">
        <v>511.0</v>
      </c>
      <c r="I16" s="30">
        <v>1022.0</v>
      </c>
      <c r="J16" s="29">
        <v>20.0</v>
      </c>
      <c r="K16" s="30">
        <v>204.0</v>
      </c>
      <c r="L16" s="30">
        <v>818.0</v>
      </c>
      <c r="M16" s="29" t="s">
        <v>55</v>
      </c>
      <c r="N16" s="29" t="s">
        <v>43</v>
      </c>
      <c r="O16" s="29" t="s">
        <v>44</v>
      </c>
      <c r="P16" s="15">
        <f t="shared" si="1"/>
        <v>1</v>
      </c>
    </row>
    <row r="17">
      <c r="A17" s="25">
        <v>20276.0</v>
      </c>
      <c r="B17" s="26">
        <v>45673.0</v>
      </c>
      <c r="C17" s="25" t="s">
        <v>51</v>
      </c>
      <c r="D17" s="25" t="s">
        <v>52</v>
      </c>
      <c r="E17" s="25" t="s">
        <v>59</v>
      </c>
      <c r="F17" s="25" t="s">
        <v>83</v>
      </c>
      <c r="G17" s="25">
        <v>12.0</v>
      </c>
      <c r="H17" s="28">
        <v>112.0</v>
      </c>
      <c r="I17" s="28">
        <v>1344.0</v>
      </c>
      <c r="J17" s="25">
        <v>0.0</v>
      </c>
      <c r="K17" s="28">
        <v>0.0</v>
      </c>
      <c r="L17" s="28">
        <v>1344.0</v>
      </c>
      <c r="M17" s="25" t="s">
        <v>81</v>
      </c>
      <c r="N17" s="25" t="s">
        <v>62</v>
      </c>
      <c r="O17" s="25" t="s">
        <v>69</v>
      </c>
      <c r="P17" s="15">
        <f t="shared" si="1"/>
        <v>1</v>
      </c>
    </row>
    <row r="18">
      <c r="A18" s="20">
        <v>20008.0</v>
      </c>
      <c r="B18" s="26">
        <v>45674.0</v>
      </c>
      <c r="C18" s="20" t="s">
        <v>84</v>
      </c>
      <c r="D18" s="20" t="s">
        <v>46</v>
      </c>
      <c r="E18" s="20" t="s">
        <v>59</v>
      </c>
      <c r="F18" s="20" t="s">
        <v>85</v>
      </c>
      <c r="G18" s="20">
        <v>2.0</v>
      </c>
      <c r="H18" s="24">
        <v>427.0</v>
      </c>
      <c r="I18" s="24">
        <v>854.0</v>
      </c>
      <c r="J18" s="20">
        <v>0.0</v>
      </c>
      <c r="K18" s="24">
        <v>0.0</v>
      </c>
      <c r="L18" s="24">
        <v>854.0</v>
      </c>
      <c r="M18" s="20" t="s">
        <v>42</v>
      </c>
      <c r="N18" s="20" t="s">
        <v>43</v>
      </c>
      <c r="O18" s="20" t="s">
        <v>57</v>
      </c>
      <c r="P18" s="15">
        <f t="shared" si="1"/>
        <v>1</v>
      </c>
    </row>
    <row r="19">
      <c r="A19" s="25">
        <v>20290.0</v>
      </c>
      <c r="B19" s="26">
        <v>45674.0</v>
      </c>
      <c r="C19" s="25" t="s">
        <v>80</v>
      </c>
      <c r="D19" s="25" t="s">
        <v>64</v>
      </c>
      <c r="E19" s="25" t="s">
        <v>47</v>
      </c>
      <c r="F19" s="25" t="s">
        <v>67</v>
      </c>
      <c r="G19" s="25">
        <v>15.0</v>
      </c>
      <c r="H19" s="28">
        <v>2231.0</v>
      </c>
      <c r="I19" s="28">
        <v>33465.0</v>
      </c>
      <c r="J19" s="25">
        <v>0.0</v>
      </c>
      <c r="K19" s="28">
        <v>0.0</v>
      </c>
      <c r="L19" s="28">
        <v>33465.0</v>
      </c>
      <c r="M19" s="25" t="s">
        <v>55</v>
      </c>
      <c r="N19" s="25" t="s">
        <v>62</v>
      </c>
      <c r="O19" s="25" t="s">
        <v>69</v>
      </c>
      <c r="P19" s="15">
        <f t="shared" si="1"/>
        <v>1</v>
      </c>
    </row>
    <row r="20">
      <c r="A20" s="20">
        <v>20240.0</v>
      </c>
      <c r="B20" s="26">
        <v>45679.0</v>
      </c>
      <c r="C20" s="20" t="s">
        <v>73</v>
      </c>
      <c r="D20" s="20" t="s">
        <v>52</v>
      </c>
      <c r="E20" s="20" t="s">
        <v>47</v>
      </c>
      <c r="F20" s="20" t="s">
        <v>65</v>
      </c>
      <c r="G20" s="20">
        <v>7.0</v>
      </c>
      <c r="H20" s="24">
        <v>1212.0</v>
      </c>
      <c r="I20" s="24">
        <v>8484.0</v>
      </c>
      <c r="J20" s="20">
        <v>0.0</v>
      </c>
      <c r="K20" s="24">
        <v>0.0</v>
      </c>
      <c r="L20" s="24">
        <v>8484.0</v>
      </c>
      <c r="M20" s="20" t="s">
        <v>81</v>
      </c>
      <c r="N20" s="20" t="s">
        <v>43</v>
      </c>
      <c r="O20" s="20" t="s">
        <v>44</v>
      </c>
      <c r="P20" s="15">
        <f t="shared" si="1"/>
        <v>1</v>
      </c>
    </row>
    <row r="21">
      <c r="A21" s="34">
        <v>20037.0</v>
      </c>
      <c r="B21" s="26">
        <v>45680.0</v>
      </c>
      <c r="C21" s="34" t="s">
        <v>24</v>
      </c>
      <c r="D21" s="34" t="s">
        <v>52</v>
      </c>
      <c r="E21" s="34" t="s">
        <v>26</v>
      </c>
      <c r="F21" s="34" t="s">
        <v>70</v>
      </c>
      <c r="G21" s="34">
        <v>15.0</v>
      </c>
      <c r="H21" s="35">
        <v>321.0</v>
      </c>
      <c r="I21" s="35">
        <v>4815.0</v>
      </c>
      <c r="J21" s="34">
        <v>10.0</v>
      </c>
      <c r="K21" s="35">
        <v>482.0</v>
      </c>
      <c r="L21" s="35">
        <v>4333.0</v>
      </c>
      <c r="M21" s="34" t="s">
        <v>55</v>
      </c>
      <c r="N21" s="34" t="s">
        <v>62</v>
      </c>
      <c r="O21" s="34" t="s">
        <v>57</v>
      </c>
      <c r="P21" s="15">
        <f t="shared" si="1"/>
        <v>1</v>
      </c>
    </row>
    <row r="22">
      <c r="A22" s="20">
        <v>20082.0</v>
      </c>
      <c r="B22" s="26">
        <v>45680.0</v>
      </c>
      <c r="C22" s="20" t="s">
        <v>84</v>
      </c>
      <c r="D22" s="20" t="s">
        <v>46</v>
      </c>
      <c r="E22" s="20" t="s">
        <v>59</v>
      </c>
      <c r="F22" s="20" t="s">
        <v>86</v>
      </c>
      <c r="G22" s="20">
        <v>7.0</v>
      </c>
      <c r="H22" s="24">
        <v>124.0</v>
      </c>
      <c r="I22" s="24">
        <v>868.0</v>
      </c>
      <c r="J22" s="20">
        <v>10.0</v>
      </c>
      <c r="K22" s="24">
        <v>87.0</v>
      </c>
      <c r="L22" s="24">
        <v>781.0</v>
      </c>
      <c r="M22" s="20" t="s">
        <v>55</v>
      </c>
      <c r="N22" s="20" t="s">
        <v>62</v>
      </c>
      <c r="O22" s="20" t="s">
        <v>44</v>
      </c>
      <c r="P22" s="15">
        <f t="shared" si="1"/>
        <v>1</v>
      </c>
    </row>
    <row r="23">
      <c r="A23" s="25">
        <v>20086.0</v>
      </c>
      <c r="B23" s="26">
        <v>45681.0</v>
      </c>
      <c r="C23" s="25" t="s">
        <v>84</v>
      </c>
      <c r="D23" s="25" t="s">
        <v>46</v>
      </c>
      <c r="E23" s="25" t="s">
        <v>26</v>
      </c>
      <c r="F23" s="25" t="s">
        <v>74</v>
      </c>
      <c r="G23" s="25">
        <v>6.0</v>
      </c>
      <c r="H23" s="28">
        <v>503.0</v>
      </c>
      <c r="I23" s="28">
        <v>3018.0</v>
      </c>
      <c r="J23" s="25">
        <v>5.0</v>
      </c>
      <c r="K23" s="28">
        <v>151.0</v>
      </c>
      <c r="L23" s="28">
        <v>2867.0</v>
      </c>
      <c r="M23" s="25" t="s">
        <v>49</v>
      </c>
      <c r="N23" s="25" t="s">
        <v>50</v>
      </c>
      <c r="O23" s="25" t="s">
        <v>69</v>
      </c>
      <c r="P23" s="15">
        <f t="shared" si="1"/>
        <v>1</v>
      </c>
    </row>
    <row r="24">
      <c r="A24" s="20">
        <v>20196.0</v>
      </c>
      <c r="B24" s="26">
        <v>45682.0</v>
      </c>
      <c r="C24" s="20" t="s">
        <v>45</v>
      </c>
      <c r="D24" s="20" t="s">
        <v>46</v>
      </c>
      <c r="E24" s="20" t="s">
        <v>59</v>
      </c>
      <c r="F24" s="20" t="s">
        <v>83</v>
      </c>
      <c r="G24" s="20">
        <v>6.0</v>
      </c>
      <c r="H24" s="24">
        <v>213.0</v>
      </c>
      <c r="I24" s="24">
        <v>1278.0</v>
      </c>
      <c r="J24" s="20">
        <v>0.0</v>
      </c>
      <c r="K24" s="24">
        <v>0.0</v>
      </c>
      <c r="L24" s="24">
        <v>1278.0</v>
      </c>
      <c r="M24" s="20" t="s">
        <v>87</v>
      </c>
      <c r="N24" s="20" t="s">
        <v>43</v>
      </c>
      <c r="O24" s="20" t="s">
        <v>69</v>
      </c>
      <c r="P24" s="15">
        <f t="shared" si="1"/>
        <v>1</v>
      </c>
    </row>
    <row r="25">
      <c r="A25" s="34">
        <v>20113.0</v>
      </c>
      <c r="B25" s="26">
        <v>45684.0</v>
      </c>
      <c r="C25" s="34" t="s">
        <v>76</v>
      </c>
      <c r="D25" s="34" t="s">
        <v>64</v>
      </c>
      <c r="E25" s="34" t="s">
        <v>77</v>
      </c>
      <c r="F25" s="34" t="s">
        <v>88</v>
      </c>
      <c r="G25" s="34">
        <v>1.0</v>
      </c>
      <c r="H25" s="35">
        <v>3129.0</v>
      </c>
      <c r="I25" s="35">
        <v>3129.0</v>
      </c>
      <c r="J25" s="34">
        <v>5.0</v>
      </c>
      <c r="K25" s="35">
        <v>156.0</v>
      </c>
      <c r="L25" s="35">
        <v>2973.0</v>
      </c>
      <c r="M25" s="34" t="s">
        <v>49</v>
      </c>
      <c r="N25" s="34" t="s">
        <v>43</v>
      </c>
      <c r="O25" s="34" t="s">
        <v>44</v>
      </c>
      <c r="P25" s="15">
        <f t="shared" si="1"/>
        <v>1</v>
      </c>
    </row>
    <row r="26">
      <c r="A26" s="20">
        <v>20256.0</v>
      </c>
      <c r="B26" s="26">
        <v>45685.0</v>
      </c>
      <c r="C26" s="20" t="s">
        <v>63</v>
      </c>
      <c r="D26" s="20" t="s">
        <v>64</v>
      </c>
      <c r="E26" s="20" t="s">
        <v>59</v>
      </c>
      <c r="F26" s="20" t="s">
        <v>86</v>
      </c>
      <c r="G26" s="20">
        <v>2.0</v>
      </c>
      <c r="H26" s="24">
        <v>364.0</v>
      </c>
      <c r="I26" s="24">
        <v>728.0</v>
      </c>
      <c r="J26" s="20">
        <v>10.0</v>
      </c>
      <c r="K26" s="24">
        <v>73.0</v>
      </c>
      <c r="L26" s="24">
        <v>655.0</v>
      </c>
      <c r="M26" s="20" t="s">
        <v>81</v>
      </c>
      <c r="N26" s="20" t="s">
        <v>72</v>
      </c>
      <c r="O26" s="20" t="s">
        <v>44</v>
      </c>
      <c r="P26" s="15">
        <f t="shared" si="1"/>
        <v>1</v>
      </c>
    </row>
    <row r="27">
      <c r="A27" s="34">
        <v>20261.0</v>
      </c>
      <c r="B27" s="26">
        <v>45686.0</v>
      </c>
      <c r="C27" s="34" t="s">
        <v>89</v>
      </c>
      <c r="D27" s="34" t="s">
        <v>46</v>
      </c>
      <c r="E27" s="34" t="s">
        <v>77</v>
      </c>
      <c r="F27" s="34" t="s">
        <v>90</v>
      </c>
      <c r="G27" s="34">
        <v>1.0</v>
      </c>
      <c r="H27" s="35">
        <v>6646.0</v>
      </c>
      <c r="I27" s="35">
        <v>6646.0</v>
      </c>
      <c r="J27" s="34">
        <v>0.0</v>
      </c>
      <c r="K27" s="35">
        <v>0.0</v>
      </c>
      <c r="L27" s="35">
        <v>6646.0</v>
      </c>
      <c r="M27" s="34" t="s">
        <v>87</v>
      </c>
      <c r="N27" s="34" t="s">
        <v>56</v>
      </c>
      <c r="O27" s="34" t="s">
        <v>57</v>
      </c>
      <c r="P27" s="15">
        <f t="shared" si="1"/>
        <v>1</v>
      </c>
    </row>
    <row r="28">
      <c r="A28" s="20">
        <v>20014.0</v>
      </c>
      <c r="B28" s="26">
        <v>45687.0</v>
      </c>
      <c r="C28" s="20" t="s">
        <v>63</v>
      </c>
      <c r="D28" s="20" t="s">
        <v>64</v>
      </c>
      <c r="E28" s="20" t="s">
        <v>47</v>
      </c>
      <c r="F28" s="20" t="s">
        <v>91</v>
      </c>
      <c r="G28" s="20">
        <v>2.0</v>
      </c>
      <c r="H28" s="24">
        <v>2380.0</v>
      </c>
      <c r="I28" s="24">
        <v>4760.0</v>
      </c>
      <c r="J28" s="20">
        <v>20.0</v>
      </c>
      <c r="K28" s="24">
        <v>952.0</v>
      </c>
      <c r="L28" s="24">
        <v>3808.0</v>
      </c>
      <c r="M28" s="20" t="s">
        <v>68</v>
      </c>
      <c r="N28" s="20" t="s">
        <v>50</v>
      </c>
      <c r="O28" s="20" t="s">
        <v>57</v>
      </c>
      <c r="P28" s="15">
        <f t="shared" si="1"/>
        <v>1</v>
      </c>
    </row>
    <row r="29">
      <c r="A29" s="34">
        <v>20147.0</v>
      </c>
      <c r="B29" s="26">
        <v>45687.0</v>
      </c>
      <c r="C29" s="34" t="s">
        <v>92</v>
      </c>
      <c r="D29" s="34" t="s">
        <v>25</v>
      </c>
      <c r="E29" s="34" t="s">
        <v>59</v>
      </c>
      <c r="F29" s="34" t="s">
        <v>85</v>
      </c>
      <c r="G29" s="34">
        <v>9.0</v>
      </c>
      <c r="H29" s="35">
        <v>371.0</v>
      </c>
      <c r="I29" s="35">
        <v>3339.0</v>
      </c>
      <c r="J29" s="34">
        <v>0.0</v>
      </c>
      <c r="K29" s="35">
        <v>0.0</v>
      </c>
      <c r="L29" s="35">
        <v>3339.0</v>
      </c>
      <c r="M29" s="34" t="s">
        <v>68</v>
      </c>
      <c r="N29" s="34" t="s">
        <v>62</v>
      </c>
      <c r="O29" s="34" t="s">
        <v>69</v>
      </c>
      <c r="P29" s="15">
        <f t="shared" si="1"/>
        <v>1</v>
      </c>
    </row>
    <row r="30">
      <c r="A30" s="29">
        <v>20205.0</v>
      </c>
      <c r="B30" s="26">
        <v>45688.0</v>
      </c>
      <c r="C30" s="29" t="s">
        <v>93</v>
      </c>
      <c r="D30" s="29" t="s">
        <v>25</v>
      </c>
      <c r="E30" s="29" t="s">
        <v>26</v>
      </c>
      <c r="F30" s="29" t="s">
        <v>94</v>
      </c>
      <c r="G30" s="29">
        <v>1.0</v>
      </c>
      <c r="H30" s="30">
        <v>126.0</v>
      </c>
      <c r="I30" s="30">
        <v>126.0</v>
      </c>
      <c r="J30" s="29">
        <v>0.0</v>
      </c>
      <c r="K30" s="30">
        <v>0.0</v>
      </c>
      <c r="L30" s="30">
        <v>126.0</v>
      </c>
      <c r="M30" s="29" t="s">
        <v>68</v>
      </c>
      <c r="N30" s="29" t="s">
        <v>62</v>
      </c>
      <c r="O30" s="29" t="s">
        <v>69</v>
      </c>
      <c r="P30" s="15">
        <f t="shared" si="1"/>
        <v>1</v>
      </c>
    </row>
    <row r="31">
      <c r="A31" s="25">
        <v>20172.0</v>
      </c>
      <c r="B31" s="26">
        <v>45689.0</v>
      </c>
      <c r="C31" s="25" t="s">
        <v>76</v>
      </c>
      <c r="D31" s="25" t="s">
        <v>64</v>
      </c>
      <c r="E31" s="25" t="s">
        <v>47</v>
      </c>
      <c r="F31" s="25" t="s">
        <v>65</v>
      </c>
      <c r="G31" s="25">
        <v>9.0</v>
      </c>
      <c r="H31" s="28">
        <v>1742.0</v>
      </c>
      <c r="I31" s="28">
        <v>15678.0</v>
      </c>
      <c r="J31" s="25">
        <v>0.0</v>
      </c>
      <c r="K31" s="28">
        <v>0.0</v>
      </c>
      <c r="L31" s="28">
        <v>15678.0</v>
      </c>
      <c r="M31" s="25" t="s">
        <v>68</v>
      </c>
      <c r="N31" s="25" t="s">
        <v>43</v>
      </c>
      <c r="O31" s="25" t="s">
        <v>57</v>
      </c>
      <c r="P31" s="15">
        <f t="shared" si="1"/>
        <v>2</v>
      </c>
    </row>
    <row r="32">
      <c r="A32" s="29">
        <v>20263.0</v>
      </c>
      <c r="B32" s="26">
        <v>45690.0</v>
      </c>
      <c r="C32" s="29" t="s">
        <v>66</v>
      </c>
      <c r="D32" s="29" t="s">
        <v>46</v>
      </c>
      <c r="E32" s="29" t="s">
        <v>47</v>
      </c>
      <c r="F32" s="29" t="s">
        <v>91</v>
      </c>
      <c r="G32" s="29">
        <v>8.0</v>
      </c>
      <c r="H32" s="30">
        <v>2245.0</v>
      </c>
      <c r="I32" s="30">
        <v>17960.0</v>
      </c>
      <c r="J32" s="29">
        <v>20.0</v>
      </c>
      <c r="K32" s="30">
        <v>3592.0</v>
      </c>
      <c r="L32" s="30">
        <v>14368.0</v>
      </c>
      <c r="M32" s="29" t="s">
        <v>49</v>
      </c>
      <c r="N32" s="29" t="s">
        <v>50</v>
      </c>
      <c r="O32" s="29" t="s">
        <v>44</v>
      </c>
      <c r="P32" s="15">
        <f t="shared" si="1"/>
        <v>2</v>
      </c>
    </row>
    <row r="33">
      <c r="A33" s="34">
        <v>20303.0</v>
      </c>
      <c r="B33" s="26">
        <v>45692.0</v>
      </c>
      <c r="C33" s="34" t="s">
        <v>92</v>
      </c>
      <c r="D33" s="34" t="s">
        <v>25</v>
      </c>
      <c r="E33" s="34" t="s">
        <v>59</v>
      </c>
      <c r="F33" s="34" t="s">
        <v>83</v>
      </c>
      <c r="G33" s="34">
        <v>7.0</v>
      </c>
      <c r="H33" s="35">
        <v>326.0</v>
      </c>
      <c r="I33" s="35">
        <v>2282.0</v>
      </c>
      <c r="J33" s="34">
        <v>20.0</v>
      </c>
      <c r="K33" s="35">
        <v>456.0</v>
      </c>
      <c r="L33" s="35">
        <v>1826.0</v>
      </c>
      <c r="M33" s="34" t="s">
        <v>81</v>
      </c>
      <c r="N33" s="34" t="s">
        <v>56</v>
      </c>
      <c r="O33" s="34" t="s">
        <v>57</v>
      </c>
      <c r="P33" s="15">
        <f t="shared" si="1"/>
        <v>2</v>
      </c>
    </row>
    <row r="34">
      <c r="A34" s="29">
        <v>20085.0</v>
      </c>
      <c r="B34" s="26">
        <v>45693.0</v>
      </c>
      <c r="C34" s="29" t="s">
        <v>63</v>
      </c>
      <c r="D34" s="29" t="s">
        <v>64</v>
      </c>
      <c r="E34" s="29" t="s">
        <v>53</v>
      </c>
      <c r="F34" s="29" t="s">
        <v>75</v>
      </c>
      <c r="G34" s="29">
        <v>12.0</v>
      </c>
      <c r="H34" s="30">
        <v>500.0</v>
      </c>
      <c r="I34" s="30">
        <v>6000.0</v>
      </c>
      <c r="J34" s="29">
        <v>5.0</v>
      </c>
      <c r="K34" s="30">
        <v>300.0</v>
      </c>
      <c r="L34" s="30">
        <v>5700.0</v>
      </c>
      <c r="M34" s="29" t="s">
        <v>68</v>
      </c>
      <c r="N34" s="29" t="s">
        <v>72</v>
      </c>
      <c r="O34" s="29" t="s">
        <v>69</v>
      </c>
      <c r="P34" s="15">
        <f t="shared" si="1"/>
        <v>2</v>
      </c>
    </row>
    <row r="35">
      <c r="A35" s="34">
        <v>20267.0</v>
      </c>
      <c r="B35" s="26">
        <v>45693.0</v>
      </c>
      <c r="C35" s="34" t="s">
        <v>73</v>
      </c>
      <c r="D35" s="34" t="s">
        <v>52</v>
      </c>
      <c r="E35" s="34" t="s">
        <v>53</v>
      </c>
      <c r="F35" s="34" t="s">
        <v>95</v>
      </c>
      <c r="G35" s="34">
        <v>6.0</v>
      </c>
      <c r="H35" s="35">
        <v>1234.0</v>
      </c>
      <c r="I35" s="35">
        <v>7404.0</v>
      </c>
      <c r="J35" s="34">
        <v>0.0</v>
      </c>
      <c r="K35" s="35">
        <v>0.0</v>
      </c>
      <c r="L35" s="35">
        <v>7404.0</v>
      </c>
      <c r="M35" s="34" t="s">
        <v>96</v>
      </c>
      <c r="N35" s="34" t="s">
        <v>56</v>
      </c>
      <c r="O35" s="34" t="s">
        <v>44</v>
      </c>
      <c r="P35" s="15">
        <f t="shared" si="1"/>
        <v>2</v>
      </c>
    </row>
    <row r="36">
      <c r="A36" s="20">
        <v>20026.0</v>
      </c>
      <c r="B36" s="26">
        <v>45695.0</v>
      </c>
      <c r="C36" s="20" t="s">
        <v>97</v>
      </c>
      <c r="D36" s="20" t="s">
        <v>25</v>
      </c>
      <c r="E36" s="20" t="s">
        <v>59</v>
      </c>
      <c r="F36" s="20" t="s">
        <v>83</v>
      </c>
      <c r="G36" s="20">
        <v>10.0</v>
      </c>
      <c r="H36" s="24">
        <v>169.0</v>
      </c>
      <c r="I36" s="24">
        <v>1690.0</v>
      </c>
      <c r="J36" s="20">
        <v>0.0</v>
      </c>
      <c r="K36" s="24">
        <v>0.0</v>
      </c>
      <c r="L36" s="24">
        <v>1690.0</v>
      </c>
      <c r="M36" s="20" t="s">
        <v>68</v>
      </c>
      <c r="N36" s="20" t="s">
        <v>72</v>
      </c>
      <c r="O36" s="20" t="s">
        <v>69</v>
      </c>
      <c r="P36" s="15">
        <f t="shared" si="1"/>
        <v>2</v>
      </c>
    </row>
    <row r="37">
      <c r="A37" s="25">
        <v>20042.0</v>
      </c>
      <c r="B37" s="26">
        <v>45695.0</v>
      </c>
      <c r="C37" s="25" t="s">
        <v>73</v>
      </c>
      <c r="D37" s="25" t="s">
        <v>52</v>
      </c>
      <c r="E37" s="25" t="s">
        <v>59</v>
      </c>
      <c r="F37" s="25" t="s">
        <v>83</v>
      </c>
      <c r="G37" s="25">
        <v>4.0</v>
      </c>
      <c r="H37" s="28">
        <v>184.0</v>
      </c>
      <c r="I37" s="28">
        <v>736.0</v>
      </c>
      <c r="J37" s="25">
        <v>15.0</v>
      </c>
      <c r="K37" s="28">
        <v>110.0</v>
      </c>
      <c r="L37" s="28">
        <v>626.0</v>
      </c>
      <c r="M37" s="25" t="s">
        <v>81</v>
      </c>
      <c r="N37" s="25" t="s">
        <v>62</v>
      </c>
      <c r="O37" s="25" t="s">
        <v>44</v>
      </c>
      <c r="P37" s="15">
        <f t="shared" si="1"/>
        <v>2</v>
      </c>
    </row>
    <row r="38">
      <c r="A38" s="29">
        <v>20123.0</v>
      </c>
      <c r="B38" s="26">
        <v>45695.0</v>
      </c>
      <c r="C38" s="29" t="s">
        <v>89</v>
      </c>
      <c r="D38" s="29" t="s">
        <v>46</v>
      </c>
      <c r="E38" s="29" t="s">
        <v>59</v>
      </c>
      <c r="F38" s="29" t="s">
        <v>86</v>
      </c>
      <c r="G38" s="29">
        <v>1.0</v>
      </c>
      <c r="H38" s="30">
        <v>99.0</v>
      </c>
      <c r="I38" s="30">
        <v>99.0</v>
      </c>
      <c r="J38" s="29">
        <v>10.0</v>
      </c>
      <c r="K38" s="30">
        <v>10.0</v>
      </c>
      <c r="L38" s="30">
        <v>89.0</v>
      </c>
      <c r="M38" s="29" t="s">
        <v>49</v>
      </c>
      <c r="N38" s="29" t="s">
        <v>56</v>
      </c>
      <c r="O38" s="29" t="s">
        <v>44</v>
      </c>
      <c r="P38" s="15">
        <f t="shared" si="1"/>
        <v>2</v>
      </c>
    </row>
    <row r="39">
      <c r="A39" s="25">
        <v>20154.0</v>
      </c>
      <c r="B39" s="26">
        <v>45695.0</v>
      </c>
      <c r="C39" s="25" t="s">
        <v>76</v>
      </c>
      <c r="D39" s="25" t="s">
        <v>64</v>
      </c>
      <c r="E39" s="25" t="s">
        <v>53</v>
      </c>
      <c r="F39" s="25" t="s">
        <v>98</v>
      </c>
      <c r="G39" s="25">
        <v>2.0</v>
      </c>
      <c r="H39" s="28">
        <v>1691.0</v>
      </c>
      <c r="I39" s="28">
        <v>3382.0</v>
      </c>
      <c r="J39" s="25">
        <v>0.0</v>
      </c>
      <c r="K39" s="28">
        <v>0.0</v>
      </c>
      <c r="L39" s="28">
        <v>3382.0</v>
      </c>
      <c r="M39" s="25" t="s">
        <v>87</v>
      </c>
      <c r="N39" s="25" t="s">
        <v>56</v>
      </c>
      <c r="O39" s="25" t="s">
        <v>69</v>
      </c>
      <c r="P39" s="15">
        <f t="shared" si="1"/>
        <v>2</v>
      </c>
    </row>
    <row r="40">
      <c r="A40" s="29">
        <v>20189.0</v>
      </c>
      <c r="B40" s="26">
        <v>45695.0</v>
      </c>
      <c r="C40" s="29" t="s">
        <v>93</v>
      </c>
      <c r="D40" s="29" t="s">
        <v>25</v>
      </c>
      <c r="E40" s="29" t="s">
        <v>59</v>
      </c>
      <c r="F40" s="29" t="s">
        <v>85</v>
      </c>
      <c r="G40" s="29">
        <v>12.0</v>
      </c>
      <c r="H40" s="30">
        <v>95.0</v>
      </c>
      <c r="I40" s="30">
        <v>1140.0</v>
      </c>
      <c r="J40" s="29">
        <v>0.0</v>
      </c>
      <c r="K40" s="30">
        <v>0.0</v>
      </c>
      <c r="L40" s="30">
        <v>1140.0</v>
      </c>
      <c r="M40" s="29" t="s">
        <v>96</v>
      </c>
      <c r="N40" s="29" t="s">
        <v>43</v>
      </c>
      <c r="O40" s="29" t="s">
        <v>69</v>
      </c>
      <c r="P40" s="15">
        <f t="shared" si="1"/>
        <v>2</v>
      </c>
    </row>
    <row r="41">
      <c r="A41" s="34">
        <v>20359.0</v>
      </c>
      <c r="B41" s="26">
        <v>45695.0</v>
      </c>
      <c r="C41" s="34" t="s">
        <v>84</v>
      </c>
      <c r="D41" s="34" t="s">
        <v>46</v>
      </c>
      <c r="E41" s="34" t="s">
        <v>47</v>
      </c>
      <c r="F41" s="34" t="s">
        <v>65</v>
      </c>
      <c r="G41" s="34">
        <v>3.0</v>
      </c>
      <c r="H41" s="35">
        <v>1902.0</v>
      </c>
      <c r="I41" s="35">
        <v>5706.0</v>
      </c>
      <c r="J41" s="34">
        <v>10.0</v>
      </c>
      <c r="K41" s="35">
        <v>571.0</v>
      </c>
      <c r="L41" s="35">
        <v>5135.0</v>
      </c>
      <c r="M41" s="34" t="s">
        <v>87</v>
      </c>
      <c r="N41" s="34" t="s">
        <v>43</v>
      </c>
      <c r="O41" s="34" t="s">
        <v>69</v>
      </c>
      <c r="P41" s="15">
        <f t="shared" si="1"/>
        <v>2</v>
      </c>
    </row>
    <row r="42">
      <c r="A42" s="29">
        <v>20273.0</v>
      </c>
      <c r="B42" s="26">
        <v>45696.0</v>
      </c>
      <c r="C42" s="29" t="s">
        <v>99</v>
      </c>
      <c r="D42" s="29" t="s">
        <v>64</v>
      </c>
      <c r="E42" s="29" t="s">
        <v>77</v>
      </c>
      <c r="F42" s="29" t="s">
        <v>88</v>
      </c>
      <c r="G42" s="29">
        <v>2.0</v>
      </c>
      <c r="H42" s="30">
        <v>1765.0</v>
      </c>
      <c r="I42" s="30">
        <v>3530.0</v>
      </c>
      <c r="J42" s="29">
        <v>0.0</v>
      </c>
      <c r="K42" s="30">
        <v>0.0</v>
      </c>
      <c r="L42" s="30">
        <v>3530.0</v>
      </c>
      <c r="M42" s="29" t="s">
        <v>61</v>
      </c>
      <c r="N42" s="29" t="s">
        <v>62</v>
      </c>
      <c r="O42" s="29" t="s">
        <v>57</v>
      </c>
      <c r="P42" s="15">
        <f t="shared" si="1"/>
        <v>2</v>
      </c>
    </row>
    <row r="43">
      <c r="A43" s="34">
        <v>20119.0</v>
      </c>
      <c r="B43" s="26">
        <v>45698.0</v>
      </c>
      <c r="C43" s="34" t="s">
        <v>51</v>
      </c>
      <c r="D43" s="34" t="s">
        <v>52</v>
      </c>
      <c r="E43" s="34" t="s">
        <v>53</v>
      </c>
      <c r="F43" s="34" t="s">
        <v>98</v>
      </c>
      <c r="G43" s="34">
        <v>6.0</v>
      </c>
      <c r="H43" s="35">
        <v>1894.0</v>
      </c>
      <c r="I43" s="35">
        <v>11364.0</v>
      </c>
      <c r="J43" s="34">
        <v>10.0</v>
      </c>
      <c r="K43" s="35">
        <v>1136.0</v>
      </c>
      <c r="L43" s="35">
        <v>10228.0</v>
      </c>
      <c r="M43" s="34" t="s">
        <v>71</v>
      </c>
      <c r="N43" s="34" t="s">
        <v>56</v>
      </c>
      <c r="O43" s="34" t="s">
        <v>57</v>
      </c>
      <c r="P43" s="15">
        <f t="shared" si="1"/>
        <v>2</v>
      </c>
    </row>
    <row r="44">
      <c r="A44" s="20">
        <v>20060.0</v>
      </c>
      <c r="B44" s="26">
        <v>45701.0</v>
      </c>
      <c r="C44" s="20" t="s">
        <v>63</v>
      </c>
      <c r="D44" s="20" t="s">
        <v>64</v>
      </c>
      <c r="E44" s="20" t="s">
        <v>59</v>
      </c>
      <c r="F44" s="20" t="s">
        <v>86</v>
      </c>
      <c r="G44" s="20">
        <v>9.0</v>
      </c>
      <c r="H44" s="24">
        <v>390.0</v>
      </c>
      <c r="I44" s="24">
        <v>3510.0</v>
      </c>
      <c r="J44" s="20">
        <v>5.0</v>
      </c>
      <c r="K44" s="24">
        <v>176.0</v>
      </c>
      <c r="L44" s="24">
        <v>3334.0</v>
      </c>
      <c r="M44" s="20" t="s">
        <v>81</v>
      </c>
      <c r="N44" s="20" t="s">
        <v>62</v>
      </c>
      <c r="O44" s="20" t="s">
        <v>44</v>
      </c>
      <c r="P44" s="15">
        <f t="shared" si="1"/>
        <v>2</v>
      </c>
    </row>
    <row r="45">
      <c r="A45" s="34">
        <v>20075.0</v>
      </c>
      <c r="B45" s="26">
        <v>45703.0</v>
      </c>
      <c r="C45" s="34" t="s">
        <v>84</v>
      </c>
      <c r="D45" s="34" t="s">
        <v>46</v>
      </c>
      <c r="E45" s="34" t="s">
        <v>53</v>
      </c>
      <c r="F45" s="34" t="s">
        <v>95</v>
      </c>
      <c r="G45" s="34">
        <v>2.0</v>
      </c>
      <c r="H45" s="35">
        <v>1352.0</v>
      </c>
      <c r="I45" s="35">
        <v>2704.0</v>
      </c>
      <c r="J45" s="34">
        <v>5.0</v>
      </c>
      <c r="K45" s="35">
        <v>135.0</v>
      </c>
      <c r="L45" s="35">
        <v>2569.0</v>
      </c>
      <c r="M45" s="34" t="s">
        <v>61</v>
      </c>
      <c r="N45" s="34" t="s">
        <v>62</v>
      </c>
      <c r="O45" s="34" t="s">
        <v>69</v>
      </c>
      <c r="P45" s="15">
        <f t="shared" si="1"/>
        <v>2</v>
      </c>
    </row>
    <row r="46">
      <c r="A46" s="20">
        <v>20320.0</v>
      </c>
      <c r="B46" s="26">
        <v>45703.0</v>
      </c>
      <c r="C46" s="20" t="s">
        <v>63</v>
      </c>
      <c r="D46" s="20" t="s">
        <v>64</v>
      </c>
      <c r="E46" s="20" t="s">
        <v>53</v>
      </c>
      <c r="F46" s="20" t="s">
        <v>75</v>
      </c>
      <c r="G46" s="20">
        <v>12.0</v>
      </c>
      <c r="H46" s="24">
        <v>977.0</v>
      </c>
      <c r="I46" s="24">
        <v>11724.0</v>
      </c>
      <c r="J46" s="20">
        <v>10.0</v>
      </c>
      <c r="K46" s="24">
        <v>1172.0</v>
      </c>
      <c r="L46" s="24">
        <v>10552.0</v>
      </c>
      <c r="M46" s="20" t="s">
        <v>96</v>
      </c>
      <c r="N46" s="20" t="s">
        <v>43</v>
      </c>
      <c r="O46" s="20" t="s">
        <v>69</v>
      </c>
      <c r="P46" s="15">
        <f t="shared" si="1"/>
        <v>2</v>
      </c>
    </row>
    <row r="47">
      <c r="A47" s="25">
        <v>20250.0</v>
      </c>
      <c r="B47" s="26">
        <v>45704.0</v>
      </c>
      <c r="C47" s="25" t="s">
        <v>58</v>
      </c>
      <c r="D47" s="25" t="s">
        <v>25</v>
      </c>
      <c r="E47" s="25" t="s">
        <v>26</v>
      </c>
      <c r="F47" s="25" t="s">
        <v>100</v>
      </c>
      <c r="G47" s="25">
        <v>8.0</v>
      </c>
      <c r="H47" s="28">
        <v>199.0</v>
      </c>
      <c r="I47" s="28">
        <v>1592.0</v>
      </c>
      <c r="J47" s="25">
        <v>15.0</v>
      </c>
      <c r="K47" s="28">
        <v>239.0</v>
      </c>
      <c r="L47" s="28">
        <v>1353.0</v>
      </c>
      <c r="M47" s="25" t="s">
        <v>42</v>
      </c>
      <c r="N47" s="25" t="s">
        <v>62</v>
      </c>
      <c r="O47" s="25" t="s">
        <v>69</v>
      </c>
      <c r="P47" s="15">
        <f t="shared" si="1"/>
        <v>2</v>
      </c>
    </row>
    <row r="48">
      <c r="A48" s="20">
        <v>20336.0</v>
      </c>
      <c r="B48" s="26">
        <v>45705.0</v>
      </c>
      <c r="C48" s="20" t="s">
        <v>45</v>
      </c>
      <c r="D48" s="20" t="s">
        <v>46</v>
      </c>
      <c r="E48" s="20" t="s">
        <v>53</v>
      </c>
      <c r="F48" s="20" t="s">
        <v>75</v>
      </c>
      <c r="G48" s="20">
        <v>2.0</v>
      </c>
      <c r="H48" s="24">
        <v>1233.0</v>
      </c>
      <c r="I48" s="24">
        <v>2466.0</v>
      </c>
      <c r="J48" s="20">
        <v>15.0</v>
      </c>
      <c r="K48" s="24">
        <v>370.0</v>
      </c>
      <c r="L48" s="24">
        <v>2096.0</v>
      </c>
      <c r="M48" s="20" t="s">
        <v>42</v>
      </c>
      <c r="N48" s="20" t="s">
        <v>43</v>
      </c>
      <c r="O48" s="20" t="s">
        <v>57</v>
      </c>
      <c r="P48" s="15">
        <f t="shared" si="1"/>
        <v>2</v>
      </c>
    </row>
    <row r="49">
      <c r="A49" s="25">
        <v>20068.0</v>
      </c>
      <c r="B49" s="26">
        <v>45708.0</v>
      </c>
      <c r="C49" s="25" t="s">
        <v>99</v>
      </c>
      <c r="D49" s="25" t="s">
        <v>64</v>
      </c>
      <c r="E49" s="25" t="s">
        <v>77</v>
      </c>
      <c r="F49" s="25" t="s">
        <v>101</v>
      </c>
      <c r="G49" s="25">
        <v>11.0</v>
      </c>
      <c r="H49" s="28">
        <v>2186.0</v>
      </c>
      <c r="I49" s="28">
        <v>24046.0</v>
      </c>
      <c r="J49" s="25">
        <v>0.0</v>
      </c>
      <c r="K49" s="28">
        <v>0.0</v>
      </c>
      <c r="L49" s="28">
        <v>24046.0</v>
      </c>
      <c r="M49" s="25" t="s">
        <v>68</v>
      </c>
      <c r="N49" s="25" t="s">
        <v>62</v>
      </c>
      <c r="O49" s="25" t="s">
        <v>44</v>
      </c>
      <c r="P49" s="15">
        <f t="shared" si="1"/>
        <v>2</v>
      </c>
    </row>
    <row r="50">
      <c r="A50" s="20">
        <v>20006.0</v>
      </c>
      <c r="B50" s="26">
        <v>45709.0</v>
      </c>
      <c r="C50" s="20" t="s">
        <v>51</v>
      </c>
      <c r="D50" s="20" t="s">
        <v>52</v>
      </c>
      <c r="E50" s="20" t="s">
        <v>53</v>
      </c>
      <c r="F50" s="20" t="s">
        <v>48</v>
      </c>
      <c r="G50" s="20">
        <v>11.0</v>
      </c>
      <c r="H50" s="24">
        <v>1057.0</v>
      </c>
      <c r="I50" s="24">
        <v>11627.0</v>
      </c>
      <c r="J50" s="20">
        <v>15.0</v>
      </c>
      <c r="K50" s="24">
        <v>1744.0</v>
      </c>
      <c r="L50" s="24">
        <v>9883.0</v>
      </c>
      <c r="M50" s="20" t="s">
        <v>96</v>
      </c>
      <c r="N50" s="20" t="s">
        <v>62</v>
      </c>
      <c r="O50" s="20" t="s">
        <v>57</v>
      </c>
      <c r="P50" s="15">
        <f t="shared" si="1"/>
        <v>2</v>
      </c>
    </row>
    <row r="51">
      <c r="A51" s="34">
        <v>20083.0</v>
      </c>
      <c r="B51" s="26">
        <v>45709.0</v>
      </c>
      <c r="C51" s="34" t="s">
        <v>73</v>
      </c>
      <c r="D51" s="34" t="s">
        <v>52</v>
      </c>
      <c r="E51" s="34" t="s">
        <v>26</v>
      </c>
      <c r="F51" s="34" t="s">
        <v>94</v>
      </c>
      <c r="G51" s="34">
        <v>3.0</v>
      </c>
      <c r="H51" s="35">
        <v>539.0</v>
      </c>
      <c r="I51" s="35">
        <v>1617.0</v>
      </c>
      <c r="J51" s="34">
        <v>5.0</v>
      </c>
      <c r="K51" s="35">
        <v>81.0</v>
      </c>
      <c r="L51" s="35">
        <v>1536.0</v>
      </c>
      <c r="M51" s="34" t="s">
        <v>96</v>
      </c>
      <c r="N51" s="34" t="s">
        <v>72</v>
      </c>
      <c r="O51" s="34" t="s">
        <v>57</v>
      </c>
      <c r="P51" s="15">
        <f t="shared" si="1"/>
        <v>2</v>
      </c>
    </row>
    <row r="52">
      <c r="A52" s="20">
        <v>20130.0</v>
      </c>
      <c r="B52" s="26">
        <v>45709.0</v>
      </c>
      <c r="C52" s="20" t="s">
        <v>93</v>
      </c>
      <c r="D52" s="20" t="s">
        <v>25</v>
      </c>
      <c r="E52" s="20" t="s">
        <v>53</v>
      </c>
      <c r="F52" s="20" t="s">
        <v>54</v>
      </c>
      <c r="G52" s="20">
        <v>3.0</v>
      </c>
      <c r="H52" s="24">
        <v>631.0</v>
      </c>
      <c r="I52" s="24">
        <v>1893.0</v>
      </c>
      <c r="J52" s="20">
        <v>15.0</v>
      </c>
      <c r="K52" s="24">
        <v>284.0</v>
      </c>
      <c r="L52" s="24">
        <v>1609.0</v>
      </c>
      <c r="M52" s="20" t="s">
        <v>42</v>
      </c>
      <c r="N52" s="20" t="s">
        <v>62</v>
      </c>
      <c r="O52" s="20" t="s">
        <v>44</v>
      </c>
      <c r="P52" s="15">
        <f t="shared" si="1"/>
        <v>2</v>
      </c>
    </row>
    <row r="53">
      <c r="A53" s="25">
        <v>20254.0</v>
      </c>
      <c r="B53" s="26">
        <v>45709.0</v>
      </c>
      <c r="C53" s="25" t="s">
        <v>76</v>
      </c>
      <c r="D53" s="25" t="s">
        <v>64</v>
      </c>
      <c r="E53" s="25" t="s">
        <v>26</v>
      </c>
      <c r="F53" s="25" t="s">
        <v>70</v>
      </c>
      <c r="G53" s="25">
        <v>12.0</v>
      </c>
      <c r="H53" s="28">
        <v>513.0</v>
      </c>
      <c r="I53" s="28">
        <v>6156.0</v>
      </c>
      <c r="J53" s="25">
        <v>0.0</v>
      </c>
      <c r="K53" s="28">
        <v>0.0</v>
      </c>
      <c r="L53" s="28">
        <v>6156.0</v>
      </c>
      <c r="M53" s="25" t="s">
        <v>96</v>
      </c>
      <c r="N53" s="25" t="s">
        <v>62</v>
      </c>
      <c r="O53" s="25" t="s">
        <v>69</v>
      </c>
      <c r="P53" s="15">
        <f t="shared" si="1"/>
        <v>2</v>
      </c>
    </row>
    <row r="54">
      <c r="A54" s="20">
        <v>20410.0</v>
      </c>
      <c r="B54" s="26">
        <v>45709.0</v>
      </c>
      <c r="C54" s="20" t="s">
        <v>84</v>
      </c>
      <c r="D54" s="20" t="s">
        <v>46</v>
      </c>
      <c r="E54" s="20" t="s">
        <v>53</v>
      </c>
      <c r="F54" s="20" t="s">
        <v>54</v>
      </c>
      <c r="G54" s="20">
        <v>14.0</v>
      </c>
      <c r="H54" s="24">
        <v>1422.0</v>
      </c>
      <c r="I54" s="24">
        <v>19908.0</v>
      </c>
      <c r="J54" s="20">
        <v>0.0</v>
      </c>
      <c r="K54" s="24">
        <v>0.0</v>
      </c>
      <c r="L54" s="24">
        <v>19908.0</v>
      </c>
      <c r="M54" s="20" t="s">
        <v>42</v>
      </c>
      <c r="N54" s="20" t="s">
        <v>56</v>
      </c>
      <c r="O54" s="20" t="s">
        <v>44</v>
      </c>
      <c r="P54" s="15">
        <f t="shared" si="1"/>
        <v>2</v>
      </c>
    </row>
    <row r="55">
      <c r="A55" s="25">
        <v>20028.0</v>
      </c>
      <c r="B55" s="26">
        <v>45711.0</v>
      </c>
      <c r="C55" s="25" t="s">
        <v>76</v>
      </c>
      <c r="D55" s="25" t="s">
        <v>64</v>
      </c>
      <c r="E55" s="25" t="s">
        <v>53</v>
      </c>
      <c r="F55" s="25" t="s">
        <v>102</v>
      </c>
      <c r="G55" s="25">
        <v>15.0</v>
      </c>
      <c r="H55" s="28">
        <v>1432.0</v>
      </c>
      <c r="I55" s="28">
        <v>21480.0</v>
      </c>
      <c r="J55" s="25">
        <v>0.0</v>
      </c>
      <c r="K55" s="28">
        <v>0.0</v>
      </c>
      <c r="L55" s="28">
        <v>21480.0</v>
      </c>
      <c r="M55" s="25" t="s">
        <v>49</v>
      </c>
      <c r="N55" s="25" t="s">
        <v>50</v>
      </c>
      <c r="O55" s="25" t="s">
        <v>57</v>
      </c>
      <c r="P55" s="15">
        <f t="shared" si="1"/>
        <v>2</v>
      </c>
    </row>
    <row r="56">
      <c r="A56" s="29">
        <v>20227.0</v>
      </c>
      <c r="B56" s="26">
        <v>45712.0</v>
      </c>
      <c r="C56" s="29" t="s">
        <v>97</v>
      </c>
      <c r="D56" s="29" t="s">
        <v>25</v>
      </c>
      <c r="E56" s="29" t="s">
        <v>26</v>
      </c>
      <c r="F56" s="29" t="s">
        <v>74</v>
      </c>
      <c r="G56" s="29">
        <v>4.0</v>
      </c>
      <c r="H56" s="30">
        <v>642.0</v>
      </c>
      <c r="I56" s="30">
        <v>2568.0</v>
      </c>
      <c r="J56" s="29">
        <v>5.0</v>
      </c>
      <c r="K56" s="30">
        <v>128.0</v>
      </c>
      <c r="L56" s="30">
        <v>2440.0</v>
      </c>
      <c r="M56" s="29" t="s">
        <v>55</v>
      </c>
      <c r="N56" s="29" t="s">
        <v>43</v>
      </c>
      <c r="O56" s="29" t="s">
        <v>44</v>
      </c>
      <c r="P56" s="15">
        <f t="shared" si="1"/>
        <v>2</v>
      </c>
    </row>
    <row r="57">
      <c r="A57" s="34">
        <v>20367.0</v>
      </c>
      <c r="B57" s="26">
        <v>45712.0</v>
      </c>
      <c r="C57" s="34" t="s">
        <v>89</v>
      </c>
      <c r="D57" s="34" t="s">
        <v>46</v>
      </c>
      <c r="E57" s="34" t="s">
        <v>53</v>
      </c>
      <c r="F57" s="34" t="s">
        <v>54</v>
      </c>
      <c r="G57" s="34">
        <v>2.0</v>
      </c>
      <c r="H57" s="35">
        <v>1195.0</v>
      </c>
      <c r="I57" s="35">
        <v>2390.0</v>
      </c>
      <c r="J57" s="34">
        <v>20.0</v>
      </c>
      <c r="K57" s="35">
        <v>478.0</v>
      </c>
      <c r="L57" s="35">
        <v>1912.0</v>
      </c>
      <c r="M57" s="34" t="s">
        <v>81</v>
      </c>
      <c r="N57" s="34" t="s">
        <v>43</v>
      </c>
      <c r="O57" s="34" t="s">
        <v>69</v>
      </c>
      <c r="P57" s="15">
        <f t="shared" si="1"/>
        <v>2</v>
      </c>
    </row>
    <row r="58">
      <c r="A58" s="29">
        <v>20393.0</v>
      </c>
      <c r="B58" s="26">
        <v>45712.0</v>
      </c>
      <c r="C58" s="29" t="s">
        <v>76</v>
      </c>
      <c r="D58" s="29" t="s">
        <v>64</v>
      </c>
      <c r="E58" s="29" t="s">
        <v>59</v>
      </c>
      <c r="F58" s="29" t="s">
        <v>83</v>
      </c>
      <c r="G58" s="29">
        <v>5.0</v>
      </c>
      <c r="H58" s="30">
        <v>276.0</v>
      </c>
      <c r="I58" s="30">
        <v>1380.0</v>
      </c>
      <c r="J58" s="29">
        <v>10.0</v>
      </c>
      <c r="K58" s="30">
        <v>138.0</v>
      </c>
      <c r="L58" s="30">
        <v>1242.0</v>
      </c>
      <c r="M58" s="29" t="s">
        <v>96</v>
      </c>
      <c r="N58" s="29" t="s">
        <v>43</v>
      </c>
      <c r="O58" s="29" t="s">
        <v>69</v>
      </c>
      <c r="P58" s="15">
        <f t="shared" si="1"/>
        <v>2</v>
      </c>
    </row>
    <row r="59">
      <c r="A59" s="34">
        <v>20103.0</v>
      </c>
      <c r="B59" s="26">
        <v>45713.0</v>
      </c>
      <c r="C59" s="34" t="s">
        <v>73</v>
      </c>
      <c r="D59" s="34" t="s">
        <v>52</v>
      </c>
      <c r="E59" s="34" t="s">
        <v>47</v>
      </c>
      <c r="F59" s="34" t="s">
        <v>65</v>
      </c>
      <c r="G59" s="34">
        <v>10.0</v>
      </c>
      <c r="H59" s="35">
        <v>1434.0</v>
      </c>
      <c r="I59" s="35">
        <v>14340.0</v>
      </c>
      <c r="J59" s="34">
        <v>5.0</v>
      </c>
      <c r="K59" s="35">
        <v>717.0</v>
      </c>
      <c r="L59" s="35">
        <v>13623.0</v>
      </c>
      <c r="M59" s="34" t="s">
        <v>81</v>
      </c>
      <c r="N59" s="34" t="s">
        <v>62</v>
      </c>
      <c r="O59" s="34" t="s">
        <v>44</v>
      </c>
      <c r="P59" s="15">
        <f t="shared" si="1"/>
        <v>2</v>
      </c>
    </row>
    <row r="60">
      <c r="A60" s="20">
        <v>20138.0</v>
      </c>
      <c r="B60" s="26">
        <v>45714.0</v>
      </c>
      <c r="C60" s="20" t="s">
        <v>82</v>
      </c>
      <c r="D60" s="20" t="s">
        <v>52</v>
      </c>
      <c r="E60" s="20" t="s">
        <v>47</v>
      </c>
      <c r="F60" s="20" t="s">
        <v>103</v>
      </c>
      <c r="G60" s="20">
        <v>1.0</v>
      </c>
      <c r="H60" s="24">
        <v>787.0</v>
      </c>
      <c r="I60" s="24">
        <v>787.0</v>
      </c>
      <c r="J60" s="20">
        <v>0.0</v>
      </c>
      <c r="K60" s="24">
        <v>0.0</v>
      </c>
      <c r="L60" s="24">
        <v>787.0</v>
      </c>
      <c r="M60" s="20" t="s">
        <v>61</v>
      </c>
      <c r="N60" s="20" t="s">
        <v>62</v>
      </c>
      <c r="O60" s="20" t="s">
        <v>57</v>
      </c>
      <c r="P60" s="15">
        <f t="shared" si="1"/>
        <v>2</v>
      </c>
    </row>
    <row r="61">
      <c r="A61" s="25">
        <v>20298.0</v>
      </c>
      <c r="B61" s="26">
        <v>45717.0</v>
      </c>
      <c r="C61" s="25" t="s">
        <v>89</v>
      </c>
      <c r="D61" s="25" t="s">
        <v>46</v>
      </c>
      <c r="E61" s="25" t="s">
        <v>59</v>
      </c>
      <c r="F61" s="25" t="s">
        <v>86</v>
      </c>
      <c r="G61" s="25">
        <v>8.0</v>
      </c>
      <c r="H61" s="28">
        <v>338.0</v>
      </c>
      <c r="I61" s="28">
        <v>2704.0</v>
      </c>
      <c r="J61" s="25">
        <v>0.0</v>
      </c>
      <c r="K61" s="28">
        <v>0.0</v>
      </c>
      <c r="L61" s="28">
        <v>2704.0</v>
      </c>
      <c r="M61" s="25" t="s">
        <v>55</v>
      </c>
      <c r="N61" s="25" t="s">
        <v>43</v>
      </c>
      <c r="O61" s="25" t="s">
        <v>44</v>
      </c>
      <c r="P61" s="15">
        <f t="shared" si="1"/>
        <v>3</v>
      </c>
    </row>
    <row r="62">
      <c r="A62" s="29">
        <v>20335.0</v>
      </c>
      <c r="B62" s="26">
        <v>45717.0</v>
      </c>
      <c r="C62" s="29" t="s">
        <v>58</v>
      </c>
      <c r="D62" s="29" t="s">
        <v>25</v>
      </c>
      <c r="E62" s="29" t="s">
        <v>26</v>
      </c>
      <c r="F62" s="29" t="s">
        <v>104</v>
      </c>
      <c r="G62" s="29">
        <v>14.0</v>
      </c>
      <c r="H62" s="30">
        <v>261.0</v>
      </c>
      <c r="I62" s="30">
        <v>3654.0</v>
      </c>
      <c r="J62" s="29">
        <v>0.0</v>
      </c>
      <c r="K62" s="30">
        <v>0.0</v>
      </c>
      <c r="L62" s="30">
        <v>3654.0</v>
      </c>
      <c r="M62" s="29" t="s">
        <v>42</v>
      </c>
      <c r="N62" s="29" t="s">
        <v>56</v>
      </c>
      <c r="O62" s="29" t="s">
        <v>44</v>
      </c>
      <c r="P62" s="15">
        <f t="shared" si="1"/>
        <v>3</v>
      </c>
    </row>
    <row r="63">
      <c r="A63" s="25">
        <v>20200.0</v>
      </c>
      <c r="B63" s="26">
        <v>45718.0</v>
      </c>
      <c r="C63" s="25" t="s">
        <v>82</v>
      </c>
      <c r="D63" s="25" t="s">
        <v>52</v>
      </c>
      <c r="E63" s="25" t="s">
        <v>77</v>
      </c>
      <c r="F63" s="25" t="s">
        <v>105</v>
      </c>
      <c r="G63" s="25">
        <v>10.0</v>
      </c>
      <c r="H63" s="28">
        <v>4149.0</v>
      </c>
      <c r="I63" s="28">
        <v>41490.0</v>
      </c>
      <c r="J63" s="25">
        <v>20.0</v>
      </c>
      <c r="K63" s="28">
        <v>8298.0</v>
      </c>
      <c r="L63" s="28">
        <v>33192.0</v>
      </c>
      <c r="M63" s="25" t="s">
        <v>96</v>
      </c>
      <c r="N63" s="25" t="s">
        <v>43</v>
      </c>
      <c r="O63" s="25" t="s">
        <v>44</v>
      </c>
      <c r="P63" s="15">
        <f t="shared" si="1"/>
        <v>3</v>
      </c>
    </row>
    <row r="64">
      <c r="A64" s="29">
        <v>20395.0</v>
      </c>
      <c r="B64" s="26">
        <v>45718.0</v>
      </c>
      <c r="C64" s="29" t="s">
        <v>63</v>
      </c>
      <c r="D64" s="29" t="s">
        <v>64</v>
      </c>
      <c r="E64" s="29" t="s">
        <v>59</v>
      </c>
      <c r="F64" s="29" t="s">
        <v>60</v>
      </c>
      <c r="G64" s="29">
        <v>2.0</v>
      </c>
      <c r="H64" s="30">
        <v>233.0</v>
      </c>
      <c r="I64" s="30">
        <v>466.0</v>
      </c>
      <c r="J64" s="29">
        <v>10.0</v>
      </c>
      <c r="K64" s="30">
        <v>47.0</v>
      </c>
      <c r="L64" s="30">
        <v>419.0</v>
      </c>
      <c r="M64" s="29" t="s">
        <v>81</v>
      </c>
      <c r="N64" s="29" t="s">
        <v>50</v>
      </c>
      <c r="O64" s="29" t="s">
        <v>44</v>
      </c>
      <c r="P64" s="15">
        <f t="shared" si="1"/>
        <v>3</v>
      </c>
    </row>
    <row r="65">
      <c r="A65" s="25">
        <v>20144.0</v>
      </c>
      <c r="B65" s="26">
        <v>45721.0</v>
      </c>
      <c r="C65" s="25" t="s">
        <v>45</v>
      </c>
      <c r="D65" s="25" t="s">
        <v>46</v>
      </c>
      <c r="E65" s="25" t="s">
        <v>59</v>
      </c>
      <c r="F65" s="25" t="s">
        <v>86</v>
      </c>
      <c r="G65" s="25">
        <v>12.0</v>
      </c>
      <c r="H65" s="28">
        <v>233.0</v>
      </c>
      <c r="I65" s="28">
        <v>2796.0</v>
      </c>
      <c r="J65" s="25">
        <v>5.0</v>
      </c>
      <c r="K65" s="28">
        <v>140.0</v>
      </c>
      <c r="L65" s="28">
        <v>2656.0</v>
      </c>
      <c r="M65" s="25" t="s">
        <v>42</v>
      </c>
      <c r="N65" s="25" t="s">
        <v>72</v>
      </c>
      <c r="O65" s="25" t="s">
        <v>57</v>
      </c>
      <c r="P65" s="15">
        <f t="shared" si="1"/>
        <v>3</v>
      </c>
    </row>
    <row r="66">
      <c r="A66" s="20">
        <v>20248.0</v>
      </c>
      <c r="B66" s="26">
        <v>45721.0</v>
      </c>
      <c r="C66" s="20" t="s">
        <v>80</v>
      </c>
      <c r="D66" s="20" t="s">
        <v>64</v>
      </c>
      <c r="E66" s="20" t="s">
        <v>59</v>
      </c>
      <c r="F66" s="20" t="s">
        <v>86</v>
      </c>
      <c r="G66" s="20">
        <v>1.0</v>
      </c>
      <c r="H66" s="24">
        <v>127.0</v>
      </c>
      <c r="I66" s="24">
        <v>127.0</v>
      </c>
      <c r="J66" s="20">
        <v>0.0</v>
      </c>
      <c r="K66" s="24">
        <v>0.0</v>
      </c>
      <c r="L66" s="24">
        <v>127.0</v>
      </c>
      <c r="M66" s="20" t="s">
        <v>96</v>
      </c>
      <c r="N66" s="20" t="s">
        <v>62</v>
      </c>
      <c r="O66" s="20" t="s">
        <v>57</v>
      </c>
      <c r="P66" s="15">
        <f t="shared" si="1"/>
        <v>3</v>
      </c>
    </row>
    <row r="67">
      <c r="A67" s="34">
        <v>20369.0</v>
      </c>
      <c r="B67" s="26">
        <v>45721.0</v>
      </c>
      <c r="C67" s="34" t="s">
        <v>93</v>
      </c>
      <c r="D67" s="34" t="s">
        <v>25</v>
      </c>
      <c r="E67" s="34" t="s">
        <v>26</v>
      </c>
      <c r="F67" s="34" t="s">
        <v>70</v>
      </c>
      <c r="G67" s="34">
        <v>10.0</v>
      </c>
      <c r="H67" s="35">
        <v>523.0</v>
      </c>
      <c r="I67" s="35">
        <v>5230.0</v>
      </c>
      <c r="J67" s="34">
        <v>0.0</v>
      </c>
      <c r="K67" s="35">
        <v>0.0</v>
      </c>
      <c r="L67" s="35">
        <v>5230.0</v>
      </c>
      <c r="M67" s="34" t="s">
        <v>55</v>
      </c>
      <c r="N67" s="34" t="s">
        <v>50</v>
      </c>
      <c r="O67" s="34" t="s">
        <v>44</v>
      </c>
      <c r="P67" s="15">
        <f t="shared" si="1"/>
        <v>3</v>
      </c>
    </row>
    <row r="68">
      <c r="A68" s="20">
        <v>20166.0</v>
      </c>
      <c r="B68" s="26">
        <v>45723.0</v>
      </c>
      <c r="C68" s="20" t="s">
        <v>58</v>
      </c>
      <c r="D68" s="20" t="s">
        <v>25</v>
      </c>
      <c r="E68" s="20" t="s">
        <v>59</v>
      </c>
      <c r="F68" s="20" t="s">
        <v>85</v>
      </c>
      <c r="G68" s="20">
        <v>13.0</v>
      </c>
      <c r="H68" s="24">
        <v>446.0</v>
      </c>
      <c r="I68" s="24">
        <v>5798.0</v>
      </c>
      <c r="J68" s="20">
        <v>0.0</v>
      </c>
      <c r="K68" s="24">
        <v>0.0</v>
      </c>
      <c r="L68" s="24">
        <v>5798.0</v>
      </c>
      <c r="M68" s="20" t="s">
        <v>49</v>
      </c>
      <c r="N68" s="20" t="s">
        <v>56</v>
      </c>
      <c r="O68" s="20" t="s">
        <v>44</v>
      </c>
      <c r="P68" s="15">
        <f t="shared" si="1"/>
        <v>3</v>
      </c>
    </row>
    <row r="69">
      <c r="A69" s="34">
        <v>20349.0</v>
      </c>
      <c r="B69" s="26">
        <v>45723.0</v>
      </c>
      <c r="C69" s="34" t="s">
        <v>58</v>
      </c>
      <c r="D69" s="34" t="s">
        <v>25</v>
      </c>
      <c r="E69" s="34" t="s">
        <v>59</v>
      </c>
      <c r="F69" s="34" t="s">
        <v>83</v>
      </c>
      <c r="G69" s="34">
        <v>10.0</v>
      </c>
      <c r="H69" s="35">
        <v>274.0</v>
      </c>
      <c r="I69" s="35">
        <v>2740.0</v>
      </c>
      <c r="J69" s="34">
        <v>0.0</v>
      </c>
      <c r="K69" s="35">
        <v>0.0</v>
      </c>
      <c r="L69" s="35">
        <v>2740.0</v>
      </c>
      <c r="M69" s="34" t="s">
        <v>61</v>
      </c>
      <c r="N69" s="34" t="s">
        <v>72</v>
      </c>
      <c r="O69" s="34" t="s">
        <v>44</v>
      </c>
      <c r="P69" s="15">
        <f t="shared" si="1"/>
        <v>3</v>
      </c>
    </row>
    <row r="70">
      <c r="A70" s="29">
        <v>20155.0</v>
      </c>
      <c r="B70" s="26">
        <v>45724.0</v>
      </c>
      <c r="C70" s="29" t="s">
        <v>24</v>
      </c>
      <c r="D70" s="29" t="s">
        <v>52</v>
      </c>
      <c r="E70" s="29" t="s">
        <v>47</v>
      </c>
      <c r="F70" s="29" t="s">
        <v>91</v>
      </c>
      <c r="G70" s="29">
        <v>14.0</v>
      </c>
      <c r="H70" s="30">
        <v>873.0</v>
      </c>
      <c r="I70" s="30">
        <v>12222.0</v>
      </c>
      <c r="J70" s="29">
        <v>0.0</v>
      </c>
      <c r="K70" s="30">
        <v>0.0</v>
      </c>
      <c r="L70" s="30">
        <v>12222.0</v>
      </c>
      <c r="M70" s="29" t="s">
        <v>55</v>
      </c>
      <c r="N70" s="29" t="s">
        <v>50</v>
      </c>
      <c r="O70" s="29" t="s">
        <v>44</v>
      </c>
      <c r="P70" s="15">
        <f t="shared" si="1"/>
        <v>3</v>
      </c>
    </row>
    <row r="71">
      <c r="A71" s="34">
        <v>20277.0</v>
      </c>
      <c r="B71" s="26">
        <v>45724.0</v>
      </c>
      <c r="C71" s="34" t="s">
        <v>99</v>
      </c>
      <c r="D71" s="34" t="s">
        <v>64</v>
      </c>
      <c r="E71" s="34" t="s">
        <v>59</v>
      </c>
      <c r="F71" s="34" t="s">
        <v>85</v>
      </c>
      <c r="G71" s="34">
        <v>11.0</v>
      </c>
      <c r="H71" s="35">
        <v>192.0</v>
      </c>
      <c r="I71" s="35">
        <v>2112.0</v>
      </c>
      <c r="J71" s="34">
        <v>0.0</v>
      </c>
      <c r="K71" s="35">
        <v>0.0</v>
      </c>
      <c r="L71" s="35">
        <v>2112.0</v>
      </c>
      <c r="M71" s="34" t="s">
        <v>71</v>
      </c>
      <c r="N71" s="34" t="s">
        <v>50</v>
      </c>
      <c r="O71" s="34" t="s">
        <v>57</v>
      </c>
      <c r="P71" s="15">
        <f t="shared" si="1"/>
        <v>3</v>
      </c>
    </row>
    <row r="72">
      <c r="A72" s="20">
        <v>20324.0</v>
      </c>
      <c r="B72" s="26">
        <v>45724.0</v>
      </c>
      <c r="C72" s="20" t="s">
        <v>24</v>
      </c>
      <c r="D72" s="20" t="s">
        <v>52</v>
      </c>
      <c r="E72" s="20" t="s">
        <v>59</v>
      </c>
      <c r="F72" s="20" t="s">
        <v>86</v>
      </c>
      <c r="G72" s="20">
        <v>7.0</v>
      </c>
      <c r="H72" s="24">
        <v>79.0</v>
      </c>
      <c r="I72" s="24">
        <v>553.0</v>
      </c>
      <c r="J72" s="20">
        <v>0.0</v>
      </c>
      <c r="K72" s="24">
        <v>0.0</v>
      </c>
      <c r="L72" s="24">
        <v>553.0</v>
      </c>
      <c r="M72" s="20" t="s">
        <v>55</v>
      </c>
      <c r="N72" s="20" t="s">
        <v>62</v>
      </c>
      <c r="O72" s="20" t="s">
        <v>44</v>
      </c>
      <c r="P72" s="15">
        <f t="shared" si="1"/>
        <v>3</v>
      </c>
    </row>
    <row r="73">
      <c r="A73" s="34">
        <v>20257.0</v>
      </c>
      <c r="B73" s="26">
        <v>45725.0</v>
      </c>
      <c r="C73" s="34" t="s">
        <v>51</v>
      </c>
      <c r="D73" s="34" t="s">
        <v>52</v>
      </c>
      <c r="E73" s="34" t="s">
        <v>47</v>
      </c>
      <c r="F73" s="34" t="s">
        <v>27</v>
      </c>
      <c r="G73" s="34">
        <v>6.0</v>
      </c>
      <c r="H73" s="35">
        <v>267.0</v>
      </c>
      <c r="I73" s="35">
        <v>1602.0</v>
      </c>
      <c r="J73" s="34">
        <v>10.0</v>
      </c>
      <c r="K73" s="35">
        <v>160.0</v>
      </c>
      <c r="L73" s="35">
        <v>1442.0</v>
      </c>
      <c r="M73" s="34" t="s">
        <v>71</v>
      </c>
      <c r="N73" s="34" t="s">
        <v>62</v>
      </c>
      <c r="O73" s="34" t="s">
        <v>44</v>
      </c>
      <c r="P73" s="15">
        <f t="shared" si="1"/>
        <v>3</v>
      </c>
    </row>
    <row r="74">
      <c r="A74" s="29">
        <v>20235.0</v>
      </c>
      <c r="B74" s="26">
        <v>45726.0</v>
      </c>
      <c r="C74" s="29" t="s">
        <v>84</v>
      </c>
      <c r="D74" s="29" t="s">
        <v>46</v>
      </c>
      <c r="E74" s="29" t="s">
        <v>26</v>
      </c>
      <c r="F74" s="29" t="s">
        <v>100</v>
      </c>
      <c r="G74" s="29">
        <v>5.0</v>
      </c>
      <c r="H74" s="30">
        <v>239.0</v>
      </c>
      <c r="I74" s="30">
        <v>1195.0</v>
      </c>
      <c r="J74" s="29">
        <v>10.0</v>
      </c>
      <c r="K74" s="30">
        <v>120.0</v>
      </c>
      <c r="L74" s="30">
        <v>1075.0</v>
      </c>
      <c r="M74" s="29" t="s">
        <v>61</v>
      </c>
      <c r="N74" s="29" t="s">
        <v>43</v>
      </c>
      <c r="O74" s="29" t="s">
        <v>57</v>
      </c>
      <c r="P74" s="15">
        <f t="shared" si="1"/>
        <v>3</v>
      </c>
    </row>
    <row r="75">
      <c r="A75" s="25">
        <v>20190.0</v>
      </c>
      <c r="B75" s="26">
        <v>45727.0</v>
      </c>
      <c r="C75" s="25" t="s">
        <v>24</v>
      </c>
      <c r="D75" s="25" t="s">
        <v>52</v>
      </c>
      <c r="E75" s="25" t="s">
        <v>53</v>
      </c>
      <c r="F75" s="25" t="s">
        <v>48</v>
      </c>
      <c r="G75" s="25">
        <v>8.0</v>
      </c>
      <c r="H75" s="28">
        <v>463.0</v>
      </c>
      <c r="I75" s="28">
        <v>3704.0</v>
      </c>
      <c r="J75" s="25">
        <v>0.0</v>
      </c>
      <c r="K75" s="28">
        <v>0.0</v>
      </c>
      <c r="L75" s="28">
        <v>3704.0</v>
      </c>
      <c r="M75" s="25" t="s">
        <v>55</v>
      </c>
      <c r="N75" s="25" t="s">
        <v>62</v>
      </c>
      <c r="O75" s="25" t="s">
        <v>69</v>
      </c>
      <c r="P75" s="15">
        <f t="shared" si="1"/>
        <v>3</v>
      </c>
    </row>
    <row r="76">
      <c r="A76" s="20">
        <v>20236.0</v>
      </c>
      <c r="B76" s="26">
        <v>45728.0</v>
      </c>
      <c r="C76" s="20" t="s">
        <v>51</v>
      </c>
      <c r="D76" s="20" t="s">
        <v>52</v>
      </c>
      <c r="E76" s="20" t="s">
        <v>59</v>
      </c>
      <c r="F76" s="20" t="s">
        <v>60</v>
      </c>
      <c r="G76" s="20">
        <v>8.0</v>
      </c>
      <c r="H76" s="24">
        <v>310.0</v>
      </c>
      <c r="I76" s="24">
        <v>2480.0</v>
      </c>
      <c r="J76" s="20">
        <v>0.0</v>
      </c>
      <c r="K76" s="24">
        <v>0.0</v>
      </c>
      <c r="L76" s="24">
        <v>2480.0</v>
      </c>
      <c r="M76" s="20" t="s">
        <v>68</v>
      </c>
      <c r="N76" s="20" t="s">
        <v>72</v>
      </c>
      <c r="O76" s="20" t="s">
        <v>44</v>
      </c>
      <c r="P76" s="15">
        <f t="shared" si="1"/>
        <v>3</v>
      </c>
    </row>
    <row r="77">
      <c r="A77" s="25">
        <v>20160.0</v>
      </c>
      <c r="B77" s="26">
        <v>45731.0</v>
      </c>
      <c r="C77" s="25" t="s">
        <v>84</v>
      </c>
      <c r="D77" s="25" t="s">
        <v>46</v>
      </c>
      <c r="E77" s="25" t="s">
        <v>53</v>
      </c>
      <c r="F77" s="25" t="s">
        <v>98</v>
      </c>
      <c r="G77" s="25">
        <v>14.0</v>
      </c>
      <c r="H77" s="28">
        <v>566.0</v>
      </c>
      <c r="I77" s="28">
        <v>7924.0</v>
      </c>
      <c r="J77" s="25">
        <v>10.0</v>
      </c>
      <c r="K77" s="28">
        <v>792.0</v>
      </c>
      <c r="L77" s="28">
        <v>7132.0</v>
      </c>
      <c r="M77" s="25" t="s">
        <v>87</v>
      </c>
      <c r="N77" s="25" t="s">
        <v>62</v>
      </c>
      <c r="O77" s="25" t="s">
        <v>44</v>
      </c>
      <c r="P77" s="15">
        <f t="shared" si="1"/>
        <v>3</v>
      </c>
    </row>
    <row r="78">
      <c r="A78" s="29">
        <v>20031.0</v>
      </c>
      <c r="B78" s="26">
        <v>45734.0</v>
      </c>
      <c r="C78" s="29" t="s">
        <v>93</v>
      </c>
      <c r="D78" s="29" t="s">
        <v>25</v>
      </c>
      <c r="E78" s="29" t="s">
        <v>53</v>
      </c>
      <c r="F78" s="29" t="s">
        <v>54</v>
      </c>
      <c r="G78" s="29">
        <v>9.0</v>
      </c>
      <c r="H78" s="30">
        <v>560.0</v>
      </c>
      <c r="I78" s="30">
        <v>5040.0</v>
      </c>
      <c r="J78" s="29">
        <v>0.0</v>
      </c>
      <c r="K78" s="30">
        <v>0.0</v>
      </c>
      <c r="L78" s="30">
        <v>5040.0</v>
      </c>
      <c r="M78" s="29" t="s">
        <v>81</v>
      </c>
      <c r="N78" s="29" t="s">
        <v>72</v>
      </c>
      <c r="O78" s="29" t="s">
        <v>69</v>
      </c>
      <c r="P78" s="15">
        <f t="shared" si="1"/>
        <v>3</v>
      </c>
    </row>
    <row r="79">
      <c r="A79" s="34">
        <v>20377.0</v>
      </c>
      <c r="B79" s="26">
        <v>45734.0</v>
      </c>
      <c r="C79" s="34" t="s">
        <v>45</v>
      </c>
      <c r="D79" s="34" t="s">
        <v>46</v>
      </c>
      <c r="E79" s="34" t="s">
        <v>59</v>
      </c>
      <c r="F79" s="34" t="s">
        <v>60</v>
      </c>
      <c r="G79" s="34">
        <v>15.0</v>
      </c>
      <c r="H79" s="35">
        <v>316.0</v>
      </c>
      <c r="I79" s="35">
        <v>4740.0</v>
      </c>
      <c r="J79" s="34">
        <v>0.0</v>
      </c>
      <c r="K79" s="35">
        <v>0.0</v>
      </c>
      <c r="L79" s="35">
        <v>4740.0</v>
      </c>
      <c r="M79" s="34" t="s">
        <v>61</v>
      </c>
      <c r="N79" s="34" t="s">
        <v>72</v>
      </c>
      <c r="O79" s="34" t="s">
        <v>57</v>
      </c>
      <c r="P79" s="15">
        <f t="shared" si="1"/>
        <v>3</v>
      </c>
    </row>
    <row r="80">
      <c r="A80" s="29">
        <v>20413.0</v>
      </c>
      <c r="B80" s="26">
        <v>45734.0</v>
      </c>
      <c r="C80" s="29" t="s">
        <v>82</v>
      </c>
      <c r="D80" s="29" t="s">
        <v>52</v>
      </c>
      <c r="E80" s="29" t="s">
        <v>26</v>
      </c>
      <c r="F80" s="29" t="s">
        <v>100</v>
      </c>
      <c r="G80" s="29">
        <v>7.0</v>
      </c>
      <c r="H80" s="30">
        <v>631.0</v>
      </c>
      <c r="I80" s="30">
        <v>4417.0</v>
      </c>
      <c r="J80" s="29">
        <v>15.0</v>
      </c>
      <c r="K80" s="30">
        <v>663.0</v>
      </c>
      <c r="L80" s="30">
        <v>3754.0</v>
      </c>
      <c r="M80" s="29" t="s">
        <v>55</v>
      </c>
      <c r="N80" s="29" t="s">
        <v>43</v>
      </c>
      <c r="O80" s="29" t="s">
        <v>44</v>
      </c>
      <c r="P80" s="15">
        <f t="shared" si="1"/>
        <v>3</v>
      </c>
    </row>
    <row r="81">
      <c r="A81" s="34">
        <v>20057.0</v>
      </c>
      <c r="B81" s="26">
        <v>45736.0</v>
      </c>
      <c r="C81" s="34" t="s">
        <v>24</v>
      </c>
      <c r="D81" s="34" t="s">
        <v>52</v>
      </c>
      <c r="E81" s="34" t="s">
        <v>77</v>
      </c>
      <c r="F81" s="34" t="s">
        <v>105</v>
      </c>
      <c r="G81" s="34">
        <v>9.0</v>
      </c>
      <c r="H81" s="35">
        <v>5945.0</v>
      </c>
      <c r="I81" s="35">
        <v>53505.0</v>
      </c>
      <c r="J81" s="34">
        <v>5.0</v>
      </c>
      <c r="K81" s="35">
        <v>2675.0</v>
      </c>
      <c r="L81" s="35">
        <v>50830.0</v>
      </c>
      <c r="M81" s="34" t="s">
        <v>49</v>
      </c>
      <c r="N81" s="34" t="s">
        <v>72</v>
      </c>
      <c r="O81" s="34" t="s">
        <v>44</v>
      </c>
      <c r="P81" s="15">
        <f t="shared" si="1"/>
        <v>3</v>
      </c>
    </row>
    <row r="82">
      <c r="A82" s="20">
        <v>20330.0</v>
      </c>
      <c r="B82" s="26">
        <v>45736.0</v>
      </c>
      <c r="C82" s="20" t="s">
        <v>99</v>
      </c>
      <c r="D82" s="20" t="s">
        <v>64</v>
      </c>
      <c r="E82" s="20" t="s">
        <v>26</v>
      </c>
      <c r="F82" s="20" t="s">
        <v>74</v>
      </c>
      <c r="G82" s="20">
        <v>7.0</v>
      </c>
      <c r="H82" s="24">
        <v>223.0</v>
      </c>
      <c r="I82" s="24">
        <v>1561.0</v>
      </c>
      <c r="J82" s="20">
        <v>5.0</v>
      </c>
      <c r="K82" s="24">
        <v>78.0</v>
      </c>
      <c r="L82" s="24">
        <v>1483.0</v>
      </c>
      <c r="M82" s="20" t="s">
        <v>71</v>
      </c>
      <c r="N82" s="20" t="s">
        <v>56</v>
      </c>
      <c r="O82" s="20" t="s">
        <v>57</v>
      </c>
      <c r="P82" s="15">
        <f t="shared" si="1"/>
        <v>3</v>
      </c>
    </row>
    <row r="83">
      <c r="A83" s="25">
        <v>20152.0</v>
      </c>
      <c r="B83" s="26">
        <v>45738.0</v>
      </c>
      <c r="C83" s="25" t="s">
        <v>80</v>
      </c>
      <c r="D83" s="25" t="s">
        <v>64</v>
      </c>
      <c r="E83" s="25" t="s">
        <v>53</v>
      </c>
      <c r="F83" s="25" t="s">
        <v>54</v>
      </c>
      <c r="G83" s="25">
        <v>4.0</v>
      </c>
      <c r="H83" s="28">
        <v>583.0</v>
      </c>
      <c r="I83" s="28">
        <v>2332.0</v>
      </c>
      <c r="J83" s="25">
        <v>0.0</v>
      </c>
      <c r="K83" s="28">
        <v>0.0</v>
      </c>
      <c r="L83" s="28">
        <v>2332.0</v>
      </c>
      <c r="M83" s="25" t="s">
        <v>55</v>
      </c>
      <c r="N83" s="25" t="s">
        <v>56</v>
      </c>
      <c r="O83" s="25" t="s">
        <v>57</v>
      </c>
      <c r="P83" s="15">
        <f t="shared" si="1"/>
        <v>3</v>
      </c>
    </row>
    <row r="84">
      <c r="A84" s="20">
        <v>20264.0</v>
      </c>
      <c r="B84" s="26">
        <v>45738.0</v>
      </c>
      <c r="C84" s="20" t="s">
        <v>66</v>
      </c>
      <c r="D84" s="20" t="s">
        <v>46</v>
      </c>
      <c r="E84" s="20" t="s">
        <v>26</v>
      </c>
      <c r="F84" s="20" t="s">
        <v>70</v>
      </c>
      <c r="G84" s="20">
        <v>11.0</v>
      </c>
      <c r="H84" s="24">
        <v>238.0</v>
      </c>
      <c r="I84" s="24">
        <v>2618.0</v>
      </c>
      <c r="J84" s="20">
        <v>0.0</v>
      </c>
      <c r="K84" s="24">
        <v>0.0</v>
      </c>
      <c r="L84" s="24">
        <v>2618.0</v>
      </c>
      <c r="M84" s="20" t="s">
        <v>81</v>
      </c>
      <c r="N84" s="20" t="s">
        <v>50</v>
      </c>
      <c r="O84" s="20" t="s">
        <v>69</v>
      </c>
      <c r="P84" s="15">
        <f t="shared" si="1"/>
        <v>3</v>
      </c>
    </row>
    <row r="85">
      <c r="A85" s="25">
        <v>20162.0</v>
      </c>
      <c r="B85" s="26">
        <v>45739.0</v>
      </c>
      <c r="C85" s="25" t="s">
        <v>84</v>
      </c>
      <c r="D85" s="25" t="s">
        <v>46</v>
      </c>
      <c r="E85" s="25" t="s">
        <v>47</v>
      </c>
      <c r="F85" s="25" t="s">
        <v>67</v>
      </c>
      <c r="G85" s="25">
        <v>4.0</v>
      </c>
      <c r="H85" s="28">
        <v>2241.0</v>
      </c>
      <c r="I85" s="28">
        <v>8964.0</v>
      </c>
      <c r="J85" s="25">
        <v>0.0</v>
      </c>
      <c r="K85" s="28">
        <v>0.0</v>
      </c>
      <c r="L85" s="28">
        <v>8964.0</v>
      </c>
      <c r="M85" s="25" t="s">
        <v>42</v>
      </c>
      <c r="N85" s="25" t="s">
        <v>62</v>
      </c>
      <c r="O85" s="25" t="s">
        <v>69</v>
      </c>
      <c r="P85" s="15">
        <f t="shared" si="1"/>
        <v>3</v>
      </c>
    </row>
    <row r="86">
      <c r="A86" s="20">
        <v>20184.0</v>
      </c>
      <c r="B86" s="26">
        <v>45739.0</v>
      </c>
      <c r="C86" s="20" t="s">
        <v>51</v>
      </c>
      <c r="D86" s="20" t="s">
        <v>52</v>
      </c>
      <c r="E86" s="20" t="s">
        <v>47</v>
      </c>
      <c r="F86" s="20" t="s">
        <v>67</v>
      </c>
      <c r="G86" s="20">
        <v>12.0</v>
      </c>
      <c r="H86" s="24">
        <v>1103.0</v>
      </c>
      <c r="I86" s="24">
        <v>13236.0</v>
      </c>
      <c r="J86" s="20">
        <v>0.0</v>
      </c>
      <c r="K86" s="24">
        <v>0.0</v>
      </c>
      <c r="L86" s="24">
        <v>13236.0</v>
      </c>
      <c r="M86" s="20" t="s">
        <v>68</v>
      </c>
      <c r="N86" s="20" t="s">
        <v>43</v>
      </c>
      <c r="O86" s="20" t="s">
        <v>69</v>
      </c>
      <c r="P86" s="15">
        <f t="shared" si="1"/>
        <v>3</v>
      </c>
    </row>
    <row r="87">
      <c r="A87" s="34">
        <v>20309.0</v>
      </c>
      <c r="B87" s="26">
        <v>45739.0</v>
      </c>
      <c r="C87" s="34" t="s">
        <v>92</v>
      </c>
      <c r="D87" s="34" t="s">
        <v>25</v>
      </c>
      <c r="E87" s="34" t="s">
        <v>53</v>
      </c>
      <c r="F87" s="34" t="s">
        <v>98</v>
      </c>
      <c r="G87" s="34">
        <v>9.0</v>
      </c>
      <c r="H87" s="35">
        <v>1897.0</v>
      </c>
      <c r="I87" s="35">
        <v>17073.0</v>
      </c>
      <c r="J87" s="34">
        <v>0.0</v>
      </c>
      <c r="K87" s="35">
        <v>0.0</v>
      </c>
      <c r="L87" s="35">
        <v>17073.0</v>
      </c>
      <c r="M87" s="34" t="s">
        <v>106</v>
      </c>
      <c r="N87" s="34" t="s">
        <v>50</v>
      </c>
      <c r="O87" s="34" t="s">
        <v>69</v>
      </c>
      <c r="P87" s="15">
        <f t="shared" si="1"/>
        <v>3</v>
      </c>
    </row>
    <row r="88">
      <c r="A88" s="29">
        <v>20181.0</v>
      </c>
      <c r="B88" s="26">
        <v>45741.0</v>
      </c>
      <c r="C88" s="29" t="s">
        <v>73</v>
      </c>
      <c r="D88" s="29" t="s">
        <v>52</v>
      </c>
      <c r="E88" s="29" t="s">
        <v>53</v>
      </c>
      <c r="F88" s="29" t="s">
        <v>98</v>
      </c>
      <c r="G88" s="29">
        <v>3.0</v>
      </c>
      <c r="H88" s="30">
        <v>989.0</v>
      </c>
      <c r="I88" s="30">
        <v>2967.0</v>
      </c>
      <c r="J88" s="29">
        <v>0.0</v>
      </c>
      <c r="K88" s="30">
        <v>0.0</v>
      </c>
      <c r="L88" s="30">
        <v>2967.0</v>
      </c>
      <c r="M88" s="29" t="s">
        <v>49</v>
      </c>
      <c r="N88" s="29" t="s">
        <v>43</v>
      </c>
      <c r="O88" s="29" t="s">
        <v>44</v>
      </c>
      <c r="P88" s="15">
        <f t="shared" si="1"/>
        <v>3</v>
      </c>
    </row>
    <row r="89">
      <c r="A89" s="25">
        <v>20312.0</v>
      </c>
      <c r="B89" s="26">
        <v>45741.0</v>
      </c>
      <c r="C89" s="25" t="s">
        <v>66</v>
      </c>
      <c r="D89" s="25" t="s">
        <v>46</v>
      </c>
      <c r="E89" s="25" t="s">
        <v>26</v>
      </c>
      <c r="F89" s="25" t="s">
        <v>74</v>
      </c>
      <c r="G89" s="25">
        <v>1.0</v>
      </c>
      <c r="H89" s="28">
        <v>515.0</v>
      </c>
      <c r="I89" s="28">
        <v>515.0</v>
      </c>
      <c r="J89" s="25">
        <v>20.0</v>
      </c>
      <c r="K89" s="28">
        <v>103.0</v>
      </c>
      <c r="L89" s="28">
        <v>412.0</v>
      </c>
      <c r="M89" s="25" t="s">
        <v>106</v>
      </c>
      <c r="N89" s="25" t="s">
        <v>50</v>
      </c>
      <c r="O89" s="25" t="s">
        <v>57</v>
      </c>
      <c r="P89" s="15">
        <f t="shared" si="1"/>
        <v>3</v>
      </c>
    </row>
    <row r="90">
      <c r="A90" s="29">
        <v>20093.0</v>
      </c>
      <c r="B90" s="26">
        <v>45742.0</v>
      </c>
      <c r="C90" s="29" t="s">
        <v>66</v>
      </c>
      <c r="D90" s="29" t="s">
        <v>46</v>
      </c>
      <c r="E90" s="29" t="s">
        <v>59</v>
      </c>
      <c r="F90" s="29" t="s">
        <v>85</v>
      </c>
      <c r="G90" s="29">
        <v>12.0</v>
      </c>
      <c r="H90" s="30">
        <v>299.0</v>
      </c>
      <c r="I90" s="30">
        <v>3588.0</v>
      </c>
      <c r="J90" s="29">
        <v>0.0</v>
      </c>
      <c r="K90" s="30">
        <v>0.0</v>
      </c>
      <c r="L90" s="30">
        <v>3588.0</v>
      </c>
      <c r="M90" s="29" t="s">
        <v>106</v>
      </c>
      <c r="N90" s="29" t="s">
        <v>43</v>
      </c>
      <c r="O90" s="29" t="s">
        <v>57</v>
      </c>
      <c r="P90" s="15">
        <f t="shared" si="1"/>
        <v>3</v>
      </c>
    </row>
    <row r="91">
      <c r="A91" s="34">
        <v>20337.0</v>
      </c>
      <c r="B91" s="26">
        <v>45743.0</v>
      </c>
      <c r="C91" s="34" t="s">
        <v>58</v>
      </c>
      <c r="D91" s="34" t="s">
        <v>25</v>
      </c>
      <c r="E91" s="34" t="s">
        <v>77</v>
      </c>
      <c r="F91" s="34" t="s">
        <v>105</v>
      </c>
      <c r="G91" s="34">
        <v>12.0</v>
      </c>
      <c r="H91" s="35">
        <v>7816.0</v>
      </c>
      <c r="I91" s="35">
        <v>93792.0</v>
      </c>
      <c r="J91" s="34">
        <v>10.0</v>
      </c>
      <c r="K91" s="35">
        <v>9379.0</v>
      </c>
      <c r="L91" s="35">
        <v>84413.0</v>
      </c>
      <c r="M91" s="34" t="s">
        <v>42</v>
      </c>
      <c r="N91" s="34" t="s">
        <v>56</v>
      </c>
      <c r="O91" s="34" t="s">
        <v>57</v>
      </c>
      <c r="P91" s="15">
        <f t="shared" si="1"/>
        <v>3</v>
      </c>
    </row>
    <row r="92">
      <c r="A92" s="29">
        <v>20319.0</v>
      </c>
      <c r="B92" s="26">
        <v>45745.0</v>
      </c>
      <c r="C92" s="29" t="s">
        <v>80</v>
      </c>
      <c r="D92" s="29" t="s">
        <v>64</v>
      </c>
      <c r="E92" s="29" t="s">
        <v>53</v>
      </c>
      <c r="F92" s="29" t="s">
        <v>102</v>
      </c>
      <c r="G92" s="29">
        <v>8.0</v>
      </c>
      <c r="H92" s="30">
        <v>828.0</v>
      </c>
      <c r="I92" s="30">
        <v>6624.0</v>
      </c>
      <c r="J92" s="29">
        <v>20.0</v>
      </c>
      <c r="K92" s="30">
        <v>1325.0</v>
      </c>
      <c r="L92" s="30">
        <v>5299.0</v>
      </c>
      <c r="M92" s="29" t="s">
        <v>68</v>
      </c>
      <c r="N92" s="29" t="s">
        <v>72</v>
      </c>
      <c r="O92" s="29" t="s">
        <v>57</v>
      </c>
      <c r="P92" s="15">
        <f t="shared" si="1"/>
        <v>3</v>
      </c>
    </row>
    <row r="93">
      <c r="A93" s="34">
        <v>20357.0</v>
      </c>
      <c r="B93" s="26">
        <v>45746.0</v>
      </c>
      <c r="C93" s="34" t="s">
        <v>58</v>
      </c>
      <c r="D93" s="34" t="s">
        <v>25</v>
      </c>
      <c r="E93" s="34" t="s">
        <v>59</v>
      </c>
      <c r="F93" s="34" t="s">
        <v>79</v>
      </c>
      <c r="G93" s="34">
        <v>7.0</v>
      </c>
      <c r="H93" s="35">
        <v>126.0</v>
      </c>
      <c r="I93" s="35">
        <v>882.0</v>
      </c>
      <c r="J93" s="34">
        <v>10.0</v>
      </c>
      <c r="K93" s="35">
        <v>88.0</v>
      </c>
      <c r="L93" s="35">
        <v>794.0</v>
      </c>
      <c r="M93" s="34" t="s">
        <v>96</v>
      </c>
      <c r="N93" s="34" t="s">
        <v>62</v>
      </c>
      <c r="O93" s="34" t="s">
        <v>44</v>
      </c>
      <c r="P93" s="15">
        <f t="shared" si="1"/>
        <v>3</v>
      </c>
    </row>
    <row r="94">
      <c r="A94" s="29">
        <v>20073.0</v>
      </c>
      <c r="B94" s="26">
        <v>45747.0</v>
      </c>
      <c r="C94" s="29" t="s">
        <v>82</v>
      </c>
      <c r="D94" s="29" t="s">
        <v>52</v>
      </c>
      <c r="E94" s="29" t="s">
        <v>47</v>
      </c>
      <c r="F94" s="29" t="s">
        <v>27</v>
      </c>
      <c r="G94" s="29">
        <v>15.0</v>
      </c>
      <c r="H94" s="30">
        <v>2213.0</v>
      </c>
      <c r="I94" s="30">
        <v>33195.0</v>
      </c>
      <c r="J94" s="29">
        <v>0.0</v>
      </c>
      <c r="K94" s="30">
        <v>0.0</v>
      </c>
      <c r="L94" s="30">
        <v>33195.0</v>
      </c>
      <c r="M94" s="29" t="s">
        <v>42</v>
      </c>
      <c r="N94" s="29" t="s">
        <v>72</v>
      </c>
      <c r="O94" s="29" t="s">
        <v>44</v>
      </c>
      <c r="P94" s="15">
        <f t="shared" si="1"/>
        <v>3</v>
      </c>
    </row>
    <row r="95">
      <c r="A95" s="34">
        <v>20087.0</v>
      </c>
      <c r="B95" s="26">
        <v>45747.0</v>
      </c>
      <c r="C95" s="34" t="s">
        <v>92</v>
      </c>
      <c r="D95" s="34" t="s">
        <v>25</v>
      </c>
      <c r="E95" s="34" t="s">
        <v>47</v>
      </c>
      <c r="F95" s="34" t="s">
        <v>27</v>
      </c>
      <c r="G95" s="34">
        <v>10.0</v>
      </c>
      <c r="H95" s="35">
        <v>1150.0</v>
      </c>
      <c r="I95" s="35">
        <v>11500.0</v>
      </c>
      <c r="J95" s="34">
        <v>5.0</v>
      </c>
      <c r="K95" s="35">
        <v>575.0</v>
      </c>
      <c r="L95" s="35">
        <v>10925.0</v>
      </c>
      <c r="M95" s="34" t="s">
        <v>96</v>
      </c>
      <c r="N95" s="34" t="s">
        <v>43</v>
      </c>
      <c r="O95" s="34" t="s">
        <v>44</v>
      </c>
      <c r="P95" s="15">
        <f t="shared" si="1"/>
        <v>3</v>
      </c>
    </row>
    <row r="96">
      <c r="A96" s="29">
        <v>20389.0</v>
      </c>
      <c r="B96" s="26">
        <v>45748.0</v>
      </c>
      <c r="C96" s="29" t="s">
        <v>82</v>
      </c>
      <c r="D96" s="29" t="s">
        <v>52</v>
      </c>
      <c r="E96" s="29" t="s">
        <v>47</v>
      </c>
      <c r="F96" s="29" t="s">
        <v>103</v>
      </c>
      <c r="G96" s="29">
        <v>1.0</v>
      </c>
      <c r="H96" s="30">
        <v>2174.0</v>
      </c>
      <c r="I96" s="30">
        <v>2174.0</v>
      </c>
      <c r="J96" s="29">
        <v>15.0</v>
      </c>
      <c r="K96" s="30">
        <v>326.0</v>
      </c>
      <c r="L96" s="30">
        <v>1848.0</v>
      </c>
      <c r="M96" s="29" t="s">
        <v>68</v>
      </c>
      <c r="N96" s="29" t="s">
        <v>56</v>
      </c>
      <c r="O96" s="29" t="s">
        <v>57</v>
      </c>
      <c r="P96" s="15">
        <f t="shared" si="1"/>
        <v>4</v>
      </c>
    </row>
    <row r="97">
      <c r="A97" s="34">
        <v>20365.0</v>
      </c>
      <c r="B97" s="26">
        <v>45749.0</v>
      </c>
      <c r="C97" s="34" t="s">
        <v>66</v>
      </c>
      <c r="D97" s="34" t="s">
        <v>46</v>
      </c>
      <c r="E97" s="34" t="s">
        <v>47</v>
      </c>
      <c r="F97" s="34" t="s">
        <v>91</v>
      </c>
      <c r="G97" s="34">
        <v>10.0</v>
      </c>
      <c r="H97" s="35">
        <v>1788.0</v>
      </c>
      <c r="I97" s="35">
        <v>17880.0</v>
      </c>
      <c r="J97" s="34">
        <v>5.0</v>
      </c>
      <c r="K97" s="35">
        <v>894.0</v>
      </c>
      <c r="L97" s="35">
        <v>16986.0</v>
      </c>
      <c r="M97" s="34" t="s">
        <v>61</v>
      </c>
      <c r="N97" s="34" t="s">
        <v>43</v>
      </c>
      <c r="O97" s="34" t="s">
        <v>44</v>
      </c>
      <c r="P97" s="15">
        <f t="shared" si="1"/>
        <v>4</v>
      </c>
    </row>
    <row r="98">
      <c r="A98" s="29">
        <v>20111.0</v>
      </c>
      <c r="B98" s="26">
        <v>45750.0</v>
      </c>
      <c r="C98" s="29" t="s">
        <v>66</v>
      </c>
      <c r="D98" s="29" t="s">
        <v>46</v>
      </c>
      <c r="E98" s="29" t="s">
        <v>53</v>
      </c>
      <c r="F98" s="29" t="s">
        <v>95</v>
      </c>
      <c r="G98" s="29">
        <v>6.0</v>
      </c>
      <c r="H98" s="30">
        <v>592.0</v>
      </c>
      <c r="I98" s="30">
        <v>3552.0</v>
      </c>
      <c r="J98" s="29">
        <v>0.0</v>
      </c>
      <c r="K98" s="30">
        <v>0.0</v>
      </c>
      <c r="L98" s="30">
        <v>3552.0</v>
      </c>
      <c r="M98" s="29" t="s">
        <v>68</v>
      </c>
      <c r="N98" s="29" t="s">
        <v>62</v>
      </c>
      <c r="O98" s="29" t="s">
        <v>69</v>
      </c>
      <c r="P98" s="15">
        <f t="shared" si="1"/>
        <v>4</v>
      </c>
    </row>
    <row r="99">
      <c r="A99" s="25">
        <v>20412.0</v>
      </c>
      <c r="B99" s="26">
        <v>45750.0</v>
      </c>
      <c r="C99" s="25" t="s">
        <v>76</v>
      </c>
      <c r="D99" s="25" t="s">
        <v>64</v>
      </c>
      <c r="E99" s="25" t="s">
        <v>47</v>
      </c>
      <c r="F99" s="25" t="s">
        <v>65</v>
      </c>
      <c r="G99" s="25">
        <v>14.0</v>
      </c>
      <c r="H99" s="28">
        <v>2473.0</v>
      </c>
      <c r="I99" s="28">
        <v>34622.0</v>
      </c>
      <c r="J99" s="25">
        <v>5.0</v>
      </c>
      <c r="K99" s="28">
        <v>1731.0</v>
      </c>
      <c r="L99" s="28">
        <v>32891.0</v>
      </c>
      <c r="M99" s="25" t="s">
        <v>61</v>
      </c>
      <c r="N99" s="25" t="s">
        <v>50</v>
      </c>
      <c r="O99" s="25" t="s">
        <v>69</v>
      </c>
      <c r="P99" s="15">
        <f t="shared" si="1"/>
        <v>4</v>
      </c>
    </row>
    <row r="100">
      <c r="A100" s="29">
        <v>20059.0</v>
      </c>
      <c r="B100" s="26">
        <v>45751.0</v>
      </c>
      <c r="C100" s="29" t="s">
        <v>82</v>
      </c>
      <c r="D100" s="29" t="s">
        <v>52</v>
      </c>
      <c r="E100" s="29" t="s">
        <v>77</v>
      </c>
      <c r="F100" s="29" t="s">
        <v>101</v>
      </c>
      <c r="G100" s="29">
        <v>13.0</v>
      </c>
      <c r="H100" s="30">
        <v>3688.0</v>
      </c>
      <c r="I100" s="30">
        <v>47944.0</v>
      </c>
      <c r="J100" s="29">
        <v>10.0</v>
      </c>
      <c r="K100" s="30">
        <v>4794.0</v>
      </c>
      <c r="L100" s="30">
        <v>43150.0</v>
      </c>
      <c r="M100" s="29" t="s">
        <v>81</v>
      </c>
      <c r="N100" s="29" t="s">
        <v>56</v>
      </c>
      <c r="O100" s="29" t="s">
        <v>69</v>
      </c>
      <c r="P100" s="15">
        <f t="shared" si="1"/>
        <v>4</v>
      </c>
    </row>
    <row r="101">
      <c r="A101" s="25">
        <v>20142.0</v>
      </c>
      <c r="B101" s="26">
        <v>45751.0</v>
      </c>
      <c r="C101" s="25" t="s">
        <v>76</v>
      </c>
      <c r="D101" s="25" t="s">
        <v>64</v>
      </c>
      <c r="E101" s="25" t="s">
        <v>26</v>
      </c>
      <c r="F101" s="25" t="s">
        <v>94</v>
      </c>
      <c r="G101" s="25">
        <v>13.0</v>
      </c>
      <c r="H101" s="28">
        <v>588.0</v>
      </c>
      <c r="I101" s="28">
        <v>7644.0</v>
      </c>
      <c r="J101" s="25">
        <v>20.0</v>
      </c>
      <c r="K101" s="28">
        <v>1529.0</v>
      </c>
      <c r="L101" s="28">
        <v>6115.0</v>
      </c>
      <c r="M101" s="25" t="s">
        <v>106</v>
      </c>
      <c r="N101" s="25" t="s">
        <v>62</v>
      </c>
      <c r="O101" s="25" t="s">
        <v>44</v>
      </c>
      <c r="P101" s="15">
        <f t="shared" si="1"/>
        <v>4</v>
      </c>
    </row>
    <row r="102">
      <c r="A102" s="20">
        <v>20408.0</v>
      </c>
      <c r="B102" s="26">
        <v>45751.0</v>
      </c>
      <c r="C102" s="20" t="s">
        <v>66</v>
      </c>
      <c r="D102" s="20" t="s">
        <v>46</v>
      </c>
      <c r="E102" s="20" t="s">
        <v>59</v>
      </c>
      <c r="F102" s="20" t="s">
        <v>60</v>
      </c>
      <c r="G102" s="20">
        <v>13.0</v>
      </c>
      <c r="H102" s="24">
        <v>276.0</v>
      </c>
      <c r="I102" s="24">
        <v>3588.0</v>
      </c>
      <c r="J102" s="20">
        <v>10.0</v>
      </c>
      <c r="K102" s="24">
        <v>359.0</v>
      </c>
      <c r="L102" s="24">
        <v>3229.0</v>
      </c>
      <c r="M102" s="20" t="s">
        <v>81</v>
      </c>
      <c r="N102" s="20" t="s">
        <v>56</v>
      </c>
      <c r="O102" s="20" t="s">
        <v>44</v>
      </c>
      <c r="P102" s="15">
        <f t="shared" si="1"/>
        <v>4</v>
      </c>
    </row>
    <row r="103">
      <c r="A103" s="34">
        <v>20215.0</v>
      </c>
      <c r="B103" s="26">
        <v>45753.0</v>
      </c>
      <c r="C103" s="34" t="s">
        <v>51</v>
      </c>
      <c r="D103" s="34" t="s">
        <v>52</v>
      </c>
      <c r="E103" s="34" t="s">
        <v>26</v>
      </c>
      <c r="F103" s="34" t="s">
        <v>70</v>
      </c>
      <c r="G103" s="34">
        <v>5.0</v>
      </c>
      <c r="H103" s="35">
        <v>372.0</v>
      </c>
      <c r="I103" s="35">
        <v>1860.0</v>
      </c>
      <c r="J103" s="34">
        <v>0.0</v>
      </c>
      <c r="K103" s="35">
        <v>0.0</v>
      </c>
      <c r="L103" s="35">
        <v>1860.0</v>
      </c>
      <c r="M103" s="34" t="s">
        <v>61</v>
      </c>
      <c r="N103" s="34" t="s">
        <v>50</v>
      </c>
      <c r="O103" s="34" t="s">
        <v>57</v>
      </c>
      <c r="P103" s="15">
        <f t="shared" si="1"/>
        <v>4</v>
      </c>
    </row>
    <row r="104">
      <c r="A104" s="29">
        <v>20299.0</v>
      </c>
      <c r="B104" s="26">
        <v>45753.0</v>
      </c>
      <c r="C104" s="29" t="s">
        <v>73</v>
      </c>
      <c r="D104" s="29" t="s">
        <v>52</v>
      </c>
      <c r="E104" s="29" t="s">
        <v>26</v>
      </c>
      <c r="F104" s="29" t="s">
        <v>74</v>
      </c>
      <c r="G104" s="29">
        <v>8.0</v>
      </c>
      <c r="H104" s="30">
        <v>596.0</v>
      </c>
      <c r="I104" s="30">
        <v>4768.0</v>
      </c>
      <c r="J104" s="29">
        <v>0.0</v>
      </c>
      <c r="K104" s="30">
        <v>0.0</v>
      </c>
      <c r="L104" s="30">
        <v>4768.0</v>
      </c>
      <c r="M104" s="29" t="s">
        <v>71</v>
      </c>
      <c r="N104" s="29" t="s">
        <v>62</v>
      </c>
      <c r="O104" s="29" t="s">
        <v>57</v>
      </c>
      <c r="P104" s="15">
        <f t="shared" si="1"/>
        <v>4</v>
      </c>
    </row>
    <row r="105">
      <c r="A105" s="34">
        <v>20383.0</v>
      </c>
      <c r="B105" s="26">
        <v>45753.0</v>
      </c>
      <c r="C105" s="34" t="s">
        <v>80</v>
      </c>
      <c r="D105" s="34" t="s">
        <v>64</v>
      </c>
      <c r="E105" s="34" t="s">
        <v>53</v>
      </c>
      <c r="F105" s="34" t="s">
        <v>54</v>
      </c>
      <c r="G105" s="34">
        <v>12.0</v>
      </c>
      <c r="H105" s="35">
        <v>770.0</v>
      </c>
      <c r="I105" s="35">
        <v>9240.0</v>
      </c>
      <c r="J105" s="34">
        <v>15.0</v>
      </c>
      <c r="K105" s="35">
        <v>1386.0</v>
      </c>
      <c r="L105" s="35">
        <v>7854.0</v>
      </c>
      <c r="M105" s="34" t="s">
        <v>71</v>
      </c>
      <c r="N105" s="34" t="s">
        <v>43</v>
      </c>
      <c r="O105" s="34" t="s">
        <v>57</v>
      </c>
      <c r="P105" s="15">
        <f t="shared" si="1"/>
        <v>4</v>
      </c>
    </row>
    <row r="106">
      <c r="A106" s="29">
        <v>20347.0</v>
      </c>
      <c r="B106" s="26">
        <v>45754.0</v>
      </c>
      <c r="C106" s="29" t="s">
        <v>58</v>
      </c>
      <c r="D106" s="29" t="s">
        <v>25</v>
      </c>
      <c r="E106" s="29" t="s">
        <v>59</v>
      </c>
      <c r="F106" s="29" t="s">
        <v>60</v>
      </c>
      <c r="G106" s="29">
        <v>8.0</v>
      </c>
      <c r="H106" s="30">
        <v>115.0</v>
      </c>
      <c r="I106" s="30">
        <v>920.0</v>
      </c>
      <c r="J106" s="29">
        <v>0.0</v>
      </c>
      <c r="K106" s="30">
        <v>0.0</v>
      </c>
      <c r="L106" s="30">
        <v>920.0</v>
      </c>
      <c r="M106" s="29" t="s">
        <v>49</v>
      </c>
      <c r="N106" s="29" t="s">
        <v>62</v>
      </c>
      <c r="O106" s="29" t="s">
        <v>44</v>
      </c>
      <c r="P106" s="15">
        <f t="shared" si="1"/>
        <v>4</v>
      </c>
    </row>
    <row r="107">
      <c r="A107" s="25">
        <v>20392.0</v>
      </c>
      <c r="B107" s="26">
        <v>45754.0</v>
      </c>
      <c r="C107" s="25" t="s">
        <v>97</v>
      </c>
      <c r="D107" s="25" t="s">
        <v>25</v>
      </c>
      <c r="E107" s="25" t="s">
        <v>26</v>
      </c>
      <c r="F107" s="25" t="s">
        <v>70</v>
      </c>
      <c r="G107" s="25">
        <v>9.0</v>
      </c>
      <c r="H107" s="28">
        <v>240.0</v>
      </c>
      <c r="I107" s="28">
        <v>2160.0</v>
      </c>
      <c r="J107" s="25">
        <v>15.0</v>
      </c>
      <c r="K107" s="28">
        <v>324.0</v>
      </c>
      <c r="L107" s="28">
        <v>1836.0</v>
      </c>
      <c r="M107" s="25" t="s">
        <v>55</v>
      </c>
      <c r="N107" s="25" t="s">
        <v>43</v>
      </c>
      <c r="O107" s="25" t="s">
        <v>44</v>
      </c>
      <c r="P107" s="15">
        <f t="shared" si="1"/>
        <v>4</v>
      </c>
    </row>
    <row r="108">
      <c r="A108" s="20">
        <v>20020.0</v>
      </c>
      <c r="B108" s="26">
        <v>45755.0</v>
      </c>
      <c r="C108" s="20" t="s">
        <v>73</v>
      </c>
      <c r="D108" s="20" t="s">
        <v>52</v>
      </c>
      <c r="E108" s="20" t="s">
        <v>77</v>
      </c>
      <c r="F108" s="20" t="s">
        <v>110</v>
      </c>
      <c r="G108" s="20">
        <v>3.0</v>
      </c>
      <c r="H108" s="24">
        <v>4689.0</v>
      </c>
      <c r="I108" s="24">
        <v>14067.0</v>
      </c>
      <c r="J108" s="20">
        <v>20.0</v>
      </c>
      <c r="K108" s="24">
        <v>2813.0</v>
      </c>
      <c r="L108" s="24">
        <v>11254.0</v>
      </c>
      <c r="M108" s="20" t="s">
        <v>87</v>
      </c>
      <c r="N108" s="20" t="s">
        <v>62</v>
      </c>
      <c r="O108" s="20" t="s">
        <v>69</v>
      </c>
      <c r="P108" s="15">
        <f t="shared" si="1"/>
        <v>4</v>
      </c>
    </row>
    <row r="109">
      <c r="A109" s="25">
        <v>20120.0</v>
      </c>
      <c r="B109" s="26">
        <v>45757.0</v>
      </c>
      <c r="C109" s="25" t="s">
        <v>45</v>
      </c>
      <c r="D109" s="25" t="s">
        <v>46</v>
      </c>
      <c r="E109" s="25" t="s">
        <v>53</v>
      </c>
      <c r="F109" s="25" t="s">
        <v>98</v>
      </c>
      <c r="G109" s="25">
        <v>14.0</v>
      </c>
      <c r="H109" s="28">
        <v>509.0</v>
      </c>
      <c r="I109" s="28">
        <v>7126.0</v>
      </c>
      <c r="J109" s="25">
        <v>0.0</v>
      </c>
      <c r="K109" s="28">
        <v>0.0</v>
      </c>
      <c r="L109" s="28">
        <v>7126.0</v>
      </c>
      <c r="M109" s="25" t="s">
        <v>68</v>
      </c>
      <c r="N109" s="25" t="s">
        <v>56</v>
      </c>
      <c r="O109" s="25" t="s">
        <v>69</v>
      </c>
      <c r="P109" s="15">
        <f t="shared" si="1"/>
        <v>4</v>
      </c>
    </row>
    <row r="110">
      <c r="A110" s="29">
        <v>20013.0</v>
      </c>
      <c r="B110" s="26">
        <v>45759.0</v>
      </c>
      <c r="C110" s="29" t="s">
        <v>76</v>
      </c>
      <c r="D110" s="29" t="s">
        <v>64</v>
      </c>
      <c r="E110" s="29" t="s">
        <v>53</v>
      </c>
      <c r="F110" s="29" t="s">
        <v>75</v>
      </c>
      <c r="G110" s="29">
        <v>9.0</v>
      </c>
      <c r="H110" s="30">
        <v>962.0</v>
      </c>
      <c r="I110" s="30">
        <v>8658.0</v>
      </c>
      <c r="J110" s="29">
        <v>0.0</v>
      </c>
      <c r="K110" s="30">
        <v>0.0</v>
      </c>
      <c r="L110" s="30">
        <v>8658.0</v>
      </c>
      <c r="M110" s="29" t="s">
        <v>55</v>
      </c>
      <c r="N110" s="29" t="s">
        <v>72</v>
      </c>
      <c r="O110" s="29" t="s">
        <v>69</v>
      </c>
      <c r="P110" s="15">
        <f t="shared" si="1"/>
        <v>4</v>
      </c>
    </row>
    <row r="111">
      <c r="A111" s="25">
        <v>20034.0</v>
      </c>
      <c r="B111" s="26">
        <v>45760.0</v>
      </c>
      <c r="C111" s="25" t="s">
        <v>73</v>
      </c>
      <c r="D111" s="25" t="s">
        <v>52</v>
      </c>
      <c r="E111" s="25" t="s">
        <v>53</v>
      </c>
      <c r="F111" s="25" t="s">
        <v>95</v>
      </c>
      <c r="G111" s="25">
        <v>14.0</v>
      </c>
      <c r="H111" s="28">
        <v>347.0</v>
      </c>
      <c r="I111" s="28">
        <v>4858.0</v>
      </c>
      <c r="J111" s="25">
        <v>5.0</v>
      </c>
      <c r="K111" s="28">
        <v>243.0</v>
      </c>
      <c r="L111" s="28">
        <v>4615.0</v>
      </c>
      <c r="M111" s="25" t="s">
        <v>55</v>
      </c>
      <c r="N111" s="25" t="s">
        <v>72</v>
      </c>
      <c r="O111" s="25" t="s">
        <v>69</v>
      </c>
      <c r="P111" s="15">
        <f t="shared" si="1"/>
        <v>4</v>
      </c>
    </row>
    <row r="112">
      <c r="A112" s="20">
        <v>20222.0</v>
      </c>
      <c r="B112" s="26">
        <v>45760.0</v>
      </c>
      <c r="C112" s="20" t="s">
        <v>82</v>
      </c>
      <c r="D112" s="20" t="s">
        <v>52</v>
      </c>
      <c r="E112" s="20" t="s">
        <v>53</v>
      </c>
      <c r="F112" s="20" t="s">
        <v>75</v>
      </c>
      <c r="G112" s="20">
        <v>7.0</v>
      </c>
      <c r="H112" s="24">
        <v>1804.0</v>
      </c>
      <c r="I112" s="24">
        <v>12628.0</v>
      </c>
      <c r="J112" s="20">
        <v>10.0</v>
      </c>
      <c r="K112" s="24">
        <v>1263.0</v>
      </c>
      <c r="L112" s="24">
        <v>11365.0</v>
      </c>
      <c r="M112" s="20" t="s">
        <v>106</v>
      </c>
      <c r="N112" s="20" t="s">
        <v>72</v>
      </c>
      <c r="O112" s="20" t="s">
        <v>44</v>
      </c>
      <c r="P112" s="15">
        <f t="shared" si="1"/>
        <v>4</v>
      </c>
    </row>
    <row r="113">
      <c r="A113" s="34">
        <v>20313.0</v>
      </c>
      <c r="B113" s="26">
        <v>45763.0</v>
      </c>
      <c r="C113" s="34" t="s">
        <v>66</v>
      </c>
      <c r="D113" s="34" t="s">
        <v>46</v>
      </c>
      <c r="E113" s="34" t="s">
        <v>59</v>
      </c>
      <c r="F113" s="34" t="s">
        <v>83</v>
      </c>
      <c r="G113" s="34">
        <v>1.0</v>
      </c>
      <c r="H113" s="35">
        <v>391.0</v>
      </c>
      <c r="I113" s="35">
        <v>391.0</v>
      </c>
      <c r="J113" s="34">
        <v>10.0</v>
      </c>
      <c r="K113" s="35">
        <v>39.0</v>
      </c>
      <c r="L113" s="35">
        <v>352.0</v>
      </c>
      <c r="M113" s="34" t="s">
        <v>81</v>
      </c>
      <c r="N113" s="34" t="s">
        <v>50</v>
      </c>
      <c r="O113" s="34" t="s">
        <v>44</v>
      </c>
      <c r="P113" s="15">
        <f t="shared" si="1"/>
        <v>4</v>
      </c>
    </row>
    <row r="114">
      <c r="A114" s="20">
        <v>20174.0</v>
      </c>
      <c r="B114" s="26">
        <v>45764.0</v>
      </c>
      <c r="C114" s="20" t="s">
        <v>82</v>
      </c>
      <c r="D114" s="20" t="s">
        <v>52</v>
      </c>
      <c r="E114" s="20" t="s">
        <v>53</v>
      </c>
      <c r="F114" s="20" t="s">
        <v>48</v>
      </c>
      <c r="G114" s="20">
        <v>6.0</v>
      </c>
      <c r="H114" s="24">
        <v>548.0</v>
      </c>
      <c r="I114" s="24">
        <v>3288.0</v>
      </c>
      <c r="J114" s="20">
        <v>5.0</v>
      </c>
      <c r="K114" s="24">
        <v>164.0</v>
      </c>
      <c r="L114" s="24">
        <v>3124.0</v>
      </c>
      <c r="M114" s="20" t="s">
        <v>61</v>
      </c>
      <c r="N114" s="20" t="s">
        <v>72</v>
      </c>
      <c r="O114" s="20" t="s">
        <v>69</v>
      </c>
      <c r="P114" s="15">
        <f t="shared" si="1"/>
        <v>4</v>
      </c>
    </row>
    <row r="115">
      <c r="A115" s="34">
        <v>20351.0</v>
      </c>
      <c r="B115" s="26">
        <v>45765.0</v>
      </c>
      <c r="C115" s="34" t="s">
        <v>89</v>
      </c>
      <c r="D115" s="34" t="s">
        <v>46</v>
      </c>
      <c r="E115" s="34" t="s">
        <v>53</v>
      </c>
      <c r="F115" s="34" t="s">
        <v>98</v>
      </c>
      <c r="G115" s="34">
        <v>3.0</v>
      </c>
      <c r="H115" s="35">
        <v>1410.0</v>
      </c>
      <c r="I115" s="35">
        <v>4230.0</v>
      </c>
      <c r="J115" s="34">
        <v>15.0</v>
      </c>
      <c r="K115" s="35">
        <v>634.0</v>
      </c>
      <c r="L115" s="35">
        <v>3596.0</v>
      </c>
      <c r="M115" s="34" t="s">
        <v>71</v>
      </c>
      <c r="N115" s="34" t="s">
        <v>72</v>
      </c>
      <c r="O115" s="34" t="s">
        <v>57</v>
      </c>
      <c r="P115" s="15">
        <f t="shared" si="1"/>
        <v>4</v>
      </c>
    </row>
    <row r="116">
      <c r="A116" s="20">
        <v>20302.0</v>
      </c>
      <c r="B116" s="26">
        <v>45766.0</v>
      </c>
      <c r="C116" s="20" t="s">
        <v>99</v>
      </c>
      <c r="D116" s="20" t="s">
        <v>64</v>
      </c>
      <c r="E116" s="20" t="s">
        <v>77</v>
      </c>
      <c r="F116" s="20" t="s">
        <v>90</v>
      </c>
      <c r="G116" s="20">
        <v>7.0</v>
      </c>
      <c r="H116" s="24">
        <v>6496.0</v>
      </c>
      <c r="I116" s="24">
        <v>45472.0</v>
      </c>
      <c r="J116" s="20">
        <v>20.0</v>
      </c>
      <c r="K116" s="24">
        <v>9094.0</v>
      </c>
      <c r="L116" s="24">
        <v>36378.0</v>
      </c>
      <c r="M116" s="20" t="s">
        <v>49</v>
      </c>
      <c r="N116" s="20" t="s">
        <v>72</v>
      </c>
      <c r="O116" s="20" t="s">
        <v>44</v>
      </c>
      <c r="P116" s="15">
        <f t="shared" si="1"/>
        <v>4</v>
      </c>
    </row>
    <row r="117">
      <c r="A117" s="34">
        <v>20063.0</v>
      </c>
      <c r="B117" s="26">
        <v>45768.0</v>
      </c>
      <c r="C117" s="34" t="s">
        <v>82</v>
      </c>
      <c r="D117" s="34" t="s">
        <v>52</v>
      </c>
      <c r="E117" s="34" t="s">
        <v>53</v>
      </c>
      <c r="F117" s="34" t="s">
        <v>98</v>
      </c>
      <c r="G117" s="34">
        <v>10.0</v>
      </c>
      <c r="H117" s="35">
        <v>696.0</v>
      </c>
      <c r="I117" s="35">
        <v>6960.0</v>
      </c>
      <c r="J117" s="34">
        <v>0.0</v>
      </c>
      <c r="K117" s="35">
        <v>0.0</v>
      </c>
      <c r="L117" s="35">
        <v>6960.0</v>
      </c>
      <c r="M117" s="34" t="s">
        <v>68</v>
      </c>
      <c r="N117" s="34" t="s">
        <v>72</v>
      </c>
      <c r="O117" s="34" t="s">
        <v>69</v>
      </c>
      <c r="P117" s="15">
        <f t="shared" si="1"/>
        <v>4</v>
      </c>
    </row>
    <row r="118">
      <c r="A118" s="20">
        <v>20106.0</v>
      </c>
      <c r="B118" s="26">
        <v>45768.0</v>
      </c>
      <c r="C118" s="20" t="s">
        <v>24</v>
      </c>
      <c r="D118" s="20" t="s">
        <v>52</v>
      </c>
      <c r="E118" s="20" t="s">
        <v>59</v>
      </c>
      <c r="F118" s="20" t="s">
        <v>60</v>
      </c>
      <c r="G118" s="20">
        <v>7.0</v>
      </c>
      <c r="H118" s="24">
        <v>264.0</v>
      </c>
      <c r="I118" s="24">
        <v>1848.0</v>
      </c>
      <c r="J118" s="20">
        <v>15.0</v>
      </c>
      <c r="K118" s="24">
        <v>277.0</v>
      </c>
      <c r="L118" s="24">
        <v>1571.0</v>
      </c>
      <c r="M118" s="20" t="s">
        <v>71</v>
      </c>
      <c r="N118" s="20" t="s">
        <v>72</v>
      </c>
      <c r="O118" s="20" t="s">
        <v>44</v>
      </c>
      <c r="P118" s="15">
        <f t="shared" si="1"/>
        <v>4</v>
      </c>
    </row>
    <row r="119">
      <c r="A119" s="25">
        <v>20258.0</v>
      </c>
      <c r="B119" s="26">
        <v>45768.0</v>
      </c>
      <c r="C119" s="25" t="s">
        <v>93</v>
      </c>
      <c r="D119" s="25" t="s">
        <v>25</v>
      </c>
      <c r="E119" s="25" t="s">
        <v>26</v>
      </c>
      <c r="F119" s="25" t="s">
        <v>111</v>
      </c>
      <c r="G119" s="25">
        <v>9.0</v>
      </c>
      <c r="H119" s="28">
        <v>413.0</v>
      </c>
      <c r="I119" s="28">
        <v>3717.0</v>
      </c>
      <c r="J119" s="25">
        <v>5.0</v>
      </c>
      <c r="K119" s="28">
        <v>186.0</v>
      </c>
      <c r="L119" s="28">
        <v>3531.0</v>
      </c>
      <c r="M119" s="25" t="s">
        <v>61</v>
      </c>
      <c r="N119" s="25" t="s">
        <v>62</v>
      </c>
      <c r="O119" s="25" t="s">
        <v>57</v>
      </c>
      <c r="P119" s="15">
        <f t="shared" si="1"/>
        <v>4</v>
      </c>
    </row>
    <row r="120">
      <c r="A120" s="29">
        <v>20275.0</v>
      </c>
      <c r="B120" s="26">
        <v>45768.0</v>
      </c>
      <c r="C120" s="29" t="s">
        <v>84</v>
      </c>
      <c r="D120" s="29" t="s">
        <v>46</v>
      </c>
      <c r="E120" s="29" t="s">
        <v>77</v>
      </c>
      <c r="F120" s="29" t="s">
        <v>90</v>
      </c>
      <c r="G120" s="29">
        <v>12.0</v>
      </c>
      <c r="H120" s="30">
        <v>3814.0</v>
      </c>
      <c r="I120" s="30">
        <v>45768.0</v>
      </c>
      <c r="J120" s="29">
        <v>15.0</v>
      </c>
      <c r="K120" s="30">
        <v>6865.0</v>
      </c>
      <c r="L120" s="30">
        <v>38903.0</v>
      </c>
      <c r="M120" s="29" t="s">
        <v>96</v>
      </c>
      <c r="N120" s="29" t="s">
        <v>72</v>
      </c>
      <c r="O120" s="29" t="s">
        <v>69</v>
      </c>
      <c r="P120" s="15">
        <f t="shared" si="1"/>
        <v>4</v>
      </c>
    </row>
    <row r="121">
      <c r="A121" s="34">
        <v>20043.0</v>
      </c>
      <c r="B121" s="26">
        <v>45770.0</v>
      </c>
      <c r="C121" s="34" t="s">
        <v>80</v>
      </c>
      <c r="D121" s="34" t="s">
        <v>64</v>
      </c>
      <c r="E121" s="34" t="s">
        <v>47</v>
      </c>
      <c r="F121" s="34" t="s">
        <v>27</v>
      </c>
      <c r="G121" s="34">
        <v>1.0</v>
      </c>
      <c r="H121" s="35">
        <v>745.0</v>
      </c>
      <c r="I121" s="35">
        <v>745.0</v>
      </c>
      <c r="J121" s="34">
        <v>20.0</v>
      </c>
      <c r="K121" s="35">
        <v>149.0</v>
      </c>
      <c r="L121" s="35">
        <v>596.0</v>
      </c>
      <c r="M121" s="34" t="s">
        <v>42</v>
      </c>
      <c r="N121" s="34" t="s">
        <v>56</v>
      </c>
      <c r="O121" s="34" t="s">
        <v>57</v>
      </c>
      <c r="P121" s="15">
        <f t="shared" si="1"/>
        <v>4</v>
      </c>
    </row>
    <row r="122">
      <c r="A122" s="29">
        <v>20049.0</v>
      </c>
      <c r="B122" s="26">
        <v>45770.0</v>
      </c>
      <c r="C122" s="29" t="s">
        <v>66</v>
      </c>
      <c r="D122" s="29" t="s">
        <v>46</v>
      </c>
      <c r="E122" s="29" t="s">
        <v>59</v>
      </c>
      <c r="F122" s="29" t="s">
        <v>86</v>
      </c>
      <c r="G122" s="29">
        <v>1.0</v>
      </c>
      <c r="H122" s="30">
        <v>407.0</v>
      </c>
      <c r="I122" s="30">
        <v>407.0</v>
      </c>
      <c r="J122" s="29">
        <v>15.0</v>
      </c>
      <c r="K122" s="30">
        <v>61.0</v>
      </c>
      <c r="L122" s="30">
        <v>346.0</v>
      </c>
      <c r="M122" s="29" t="s">
        <v>68</v>
      </c>
      <c r="N122" s="29" t="s">
        <v>43</v>
      </c>
      <c r="O122" s="29" t="s">
        <v>69</v>
      </c>
      <c r="P122" s="15">
        <f t="shared" si="1"/>
        <v>4</v>
      </c>
    </row>
    <row r="123">
      <c r="A123" s="34">
        <v>20061.0</v>
      </c>
      <c r="B123" s="26">
        <v>45771.0</v>
      </c>
      <c r="C123" s="34" t="s">
        <v>51</v>
      </c>
      <c r="D123" s="34" t="s">
        <v>52</v>
      </c>
      <c r="E123" s="34" t="s">
        <v>77</v>
      </c>
      <c r="F123" s="34" t="s">
        <v>101</v>
      </c>
      <c r="G123" s="34">
        <v>11.0</v>
      </c>
      <c r="H123" s="35">
        <v>4776.0</v>
      </c>
      <c r="I123" s="35">
        <v>52536.0</v>
      </c>
      <c r="J123" s="34">
        <v>5.0</v>
      </c>
      <c r="K123" s="35">
        <v>2627.0</v>
      </c>
      <c r="L123" s="35">
        <v>49909.0</v>
      </c>
      <c r="M123" s="34" t="s">
        <v>87</v>
      </c>
      <c r="N123" s="34" t="s">
        <v>72</v>
      </c>
      <c r="O123" s="34" t="s">
        <v>44</v>
      </c>
      <c r="P123" s="15">
        <f t="shared" si="1"/>
        <v>4</v>
      </c>
    </row>
    <row r="124">
      <c r="A124" s="29">
        <v>20289.0</v>
      </c>
      <c r="B124" s="26">
        <v>45772.0</v>
      </c>
      <c r="C124" s="29" t="s">
        <v>80</v>
      </c>
      <c r="D124" s="29" t="s">
        <v>64</v>
      </c>
      <c r="E124" s="29" t="s">
        <v>59</v>
      </c>
      <c r="F124" s="29" t="s">
        <v>85</v>
      </c>
      <c r="G124" s="29">
        <v>12.0</v>
      </c>
      <c r="H124" s="30">
        <v>433.0</v>
      </c>
      <c r="I124" s="30">
        <v>5196.0</v>
      </c>
      <c r="J124" s="29">
        <v>15.0</v>
      </c>
      <c r="K124" s="30">
        <v>779.0</v>
      </c>
      <c r="L124" s="30">
        <v>4417.0</v>
      </c>
      <c r="M124" s="29" t="s">
        <v>49</v>
      </c>
      <c r="N124" s="29" t="s">
        <v>43</v>
      </c>
      <c r="O124" s="29" t="s">
        <v>57</v>
      </c>
      <c r="P124" s="15">
        <f t="shared" si="1"/>
        <v>4</v>
      </c>
    </row>
    <row r="125">
      <c r="A125" s="25">
        <v>20078.0</v>
      </c>
      <c r="B125" s="26">
        <v>45773.0</v>
      </c>
      <c r="C125" s="25" t="s">
        <v>58</v>
      </c>
      <c r="D125" s="25" t="s">
        <v>25</v>
      </c>
      <c r="E125" s="25" t="s">
        <v>59</v>
      </c>
      <c r="F125" s="25" t="s">
        <v>79</v>
      </c>
      <c r="G125" s="25">
        <v>11.0</v>
      </c>
      <c r="H125" s="28">
        <v>209.0</v>
      </c>
      <c r="I125" s="28">
        <v>2299.0</v>
      </c>
      <c r="J125" s="25">
        <v>15.0</v>
      </c>
      <c r="K125" s="28">
        <v>345.0</v>
      </c>
      <c r="L125" s="28">
        <v>1954.0</v>
      </c>
      <c r="M125" s="25" t="s">
        <v>96</v>
      </c>
      <c r="N125" s="25" t="s">
        <v>43</v>
      </c>
      <c r="O125" s="25" t="s">
        <v>44</v>
      </c>
      <c r="P125" s="15">
        <f t="shared" si="1"/>
        <v>4</v>
      </c>
    </row>
    <row r="126">
      <c r="A126" s="29">
        <v>20197.0</v>
      </c>
      <c r="B126" s="26">
        <v>45773.0</v>
      </c>
      <c r="C126" s="29" t="s">
        <v>89</v>
      </c>
      <c r="D126" s="29" t="s">
        <v>46</v>
      </c>
      <c r="E126" s="29" t="s">
        <v>77</v>
      </c>
      <c r="F126" s="29" t="s">
        <v>110</v>
      </c>
      <c r="G126" s="29">
        <v>15.0</v>
      </c>
      <c r="H126" s="30">
        <v>5507.0</v>
      </c>
      <c r="I126" s="30">
        <v>82605.0</v>
      </c>
      <c r="J126" s="29">
        <v>10.0</v>
      </c>
      <c r="K126" s="30">
        <v>8260.0</v>
      </c>
      <c r="L126" s="30">
        <v>74345.0</v>
      </c>
      <c r="M126" s="29" t="s">
        <v>68</v>
      </c>
      <c r="N126" s="29" t="s">
        <v>43</v>
      </c>
      <c r="O126" s="29" t="s">
        <v>69</v>
      </c>
      <c r="P126" s="15">
        <f t="shared" si="1"/>
        <v>4</v>
      </c>
    </row>
    <row r="127">
      <c r="A127" s="34">
        <v>20211.0</v>
      </c>
      <c r="B127" s="26">
        <v>45775.0</v>
      </c>
      <c r="C127" s="34" t="s">
        <v>99</v>
      </c>
      <c r="D127" s="34" t="s">
        <v>64</v>
      </c>
      <c r="E127" s="34" t="s">
        <v>47</v>
      </c>
      <c r="F127" s="34" t="s">
        <v>27</v>
      </c>
      <c r="G127" s="34">
        <v>5.0</v>
      </c>
      <c r="H127" s="35">
        <v>1347.0</v>
      </c>
      <c r="I127" s="35">
        <v>6735.0</v>
      </c>
      <c r="J127" s="34">
        <v>10.0</v>
      </c>
      <c r="K127" s="35">
        <v>674.0</v>
      </c>
      <c r="L127" s="35">
        <v>6061.0</v>
      </c>
      <c r="M127" s="34" t="s">
        <v>49</v>
      </c>
      <c r="N127" s="34" t="s">
        <v>62</v>
      </c>
      <c r="O127" s="34" t="s">
        <v>69</v>
      </c>
      <c r="P127" s="15">
        <f t="shared" si="1"/>
        <v>4</v>
      </c>
    </row>
    <row r="128">
      <c r="A128" s="20">
        <v>20334.0</v>
      </c>
      <c r="B128" s="26">
        <v>45776.0</v>
      </c>
      <c r="C128" s="20" t="s">
        <v>73</v>
      </c>
      <c r="D128" s="20" t="s">
        <v>52</v>
      </c>
      <c r="E128" s="20" t="s">
        <v>53</v>
      </c>
      <c r="F128" s="20" t="s">
        <v>95</v>
      </c>
      <c r="G128" s="20">
        <v>8.0</v>
      </c>
      <c r="H128" s="24">
        <v>656.0</v>
      </c>
      <c r="I128" s="24">
        <v>5248.0</v>
      </c>
      <c r="J128" s="20">
        <v>0.0</v>
      </c>
      <c r="K128" s="24">
        <v>0.0</v>
      </c>
      <c r="L128" s="24">
        <v>5248.0</v>
      </c>
      <c r="M128" s="20" t="s">
        <v>55</v>
      </c>
      <c r="N128" s="20" t="s">
        <v>43</v>
      </c>
      <c r="O128" s="20" t="s">
        <v>57</v>
      </c>
      <c r="P128" s="15">
        <f t="shared" si="1"/>
        <v>4</v>
      </c>
    </row>
    <row r="129">
      <c r="A129" s="25">
        <v>20194.0</v>
      </c>
      <c r="B129" s="26">
        <v>45777.0</v>
      </c>
      <c r="C129" s="25" t="s">
        <v>99</v>
      </c>
      <c r="D129" s="25" t="s">
        <v>64</v>
      </c>
      <c r="E129" s="25" t="s">
        <v>26</v>
      </c>
      <c r="F129" s="25" t="s">
        <v>100</v>
      </c>
      <c r="G129" s="25">
        <v>9.0</v>
      </c>
      <c r="H129" s="28">
        <v>416.0</v>
      </c>
      <c r="I129" s="28">
        <v>3744.0</v>
      </c>
      <c r="J129" s="25">
        <v>10.0</v>
      </c>
      <c r="K129" s="28">
        <v>374.0</v>
      </c>
      <c r="L129" s="28">
        <v>3370.0</v>
      </c>
      <c r="M129" s="25" t="s">
        <v>49</v>
      </c>
      <c r="N129" s="25" t="s">
        <v>72</v>
      </c>
      <c r="O129" s="25" t="s">
        <v>69</v>
      </c>
      <c r="P129" s="15">
        <f t="shared" si="1"/>
        <v>4</v>
      </c>
    </row>
    <row r="130">
      <c r="A130" s="29">
        <v>20183.0</v>
      </c>
      <c r="B130" s="26">
        <v>45778.0</v>
      </c>
      <c r="C130" s="29" t="s">
        <v>73</v>
      </c>
      <c r="D130" s="29" t="s">
        <v>52</v>
      </c>
      <c r="E130" s="29" t="s">
        <v>53</v>
      </c>
      <c r="F130" s="29" t="s">
        <v>95</v>
      </c>
      <c r="G130" s="29">
        <v>5.0</v>
      </c>
      <c r="H130" s="30">
        <v>1637.0</v>
      </c>
      <c r="I130" s="30">
        <v>8185.0</v>
      </c>
      <c r="J130" s="29">
        <v>0.0</v>
      </c>
      <c r="K130" s="30">
        <v>0.0</v>
      </c>
      <c r="L130" s="30">
        <v>8185.0</v>
      </c>
      <c r="M130" s="29" t="s">
        <v>71</v>
      </c>
      <c r="N130" s="29" t="s">
        <v>43</v>
      </c>
      <c r="O130" s="29" t="s">
        <v>44</v>
      </c>
      <c r="P130" s="15">
        <f t="shared" si="1"/>
        <v>5</v>
      </c>
    </row>
    <row r="131">
      <c r="A131" s="34">
        <v>20161.0</v>
      </c>
      <c r="B131" s="26">
        <v>45781.0</v>
      </c>
      <c r="C131" s="34" t="s">
        <v>73</v>
      </c>
      <c r="D131" s="34" t="s">
        <v>52</v>
      </c>
      <c r="E131" s="34" t="s">
        <v>26</v>
      </c>
      <c r="F131" s="34" t="s">
        <v>74</v>
      </c>
      <c r="G131" s="34">
        <v>8.0</v>
      </c>
      <c r="H131" s="35">
        <v>373.0</v>
      </c>
      <c r="I131" s="35">
        <v>2984.0</v>
      </c>
      <c r="J131" s="34">
        <v>5.0</v>
      </c>
      <c r="K131" s="35">
        <v>149.0</v>
      </c>
      <c r="L131" s="35">
        <v>2835.0</v>
      </c>
      <c r="M131" s="34" t="s">
        <v>49</v>
      </c>
      <c r="N131" s="34" t="s">
        <v>43</v>
      </c>
      <c r="O131" s="34" t="s">
        <v>69</v>
      </c>
      <c r="P131" s="15">
        <f t="shared" si="1"/>
        <v>5</v>
      </c>
    </row>
    <row r="132">
      <c r="A132" s="29">
        <v>20193.0</v>
      </c>
      <c r="B132" s="26">
        <v>45781.0</v>
      </c>
      <c r="C132" s="29" t="s">
        <v>99</v>
      </c>
      <c r="D132" s="29" t="s">
        <v>64</v>
      </c>
      <c r="E132" s="29" t="s">
        <v>26</v>
      </c>
      <c r="F132" s="29" t="s">
        <v>104</v>
      </c>
      <c r="G132" s="29">
        <v>10.0</v>
      </c>
      <c r="H132" s="30">
        <v>154.0</v>
      </c>
      <c r="I132" s="30">
        <v>1540.0</v>
      </c>
      <c r="J132" s="29">
        <v>0.0</v>
      </c>
      <c r="K132" s="30">
        <v>0.0</v>
      </c>
      <c r="L132" s="30">
        <v>1540.0</v>
      </c>
      <c r="M132" s="29" t="s">
        <v>81</v>
      </c>
      <c r="N132" s="29" t="s">
        <v>43</v>
      </c>
      <c r="O132" s="29" t="s">
        <v>44</v>
      </c>
      <c r="P132" s="15">
        <f t="shared" si="1"/>
        <v>5</v>
      </c>
    </row>
    <row r="133">
      <c r="A133" s="25">
        <v>20406.0</v>
      </c>
      <c r="B133" s="26">
        <v>45781.0</v>
      </c>
      <c r="C133" s="25" t="s">
        <v>66</v>
      </c>
      <c r="D133" s="25" t="s">
        <v>46</v>
      </c>
      <c r="E133" s="25" t="s">
        <v>77</v>
      </c>
      <c r="F133" s="25" t="s">
        <v>78</v>
      </c>
      <c r="G133" s="25">
        <v>4.0</v>
      </c>
      <c r="H133" s="28">
        <v>7751.0</v>
      </c>
      <c r="I133" s="28">
        <v>31004.0</v>
      </c>
      <c r="J133" s="25">
        <v>20.0</v>
      </c>
      <c r="K133" s="28">
        <v>6201.0</v>
      </c>
      <c r="L133" s="28">
        <v>24803.0</v>
      </c>
      <c r="M133" s="25" t="s">
        <v>71</v>
      </c>
      <c r="N133" s="25" t="s">
        <v>62</v>
      </c>
      <c r="O133" s="25" t="s">
        <v>69</v>
      </c>
      <c r="P133" s="15">
        <f t="shared" si="1"/>
        <v>5</v>
      </c>
    </row>
    <row r="134">
      <c r="A134" s="29">
        <v>20027.0</v>
      </c>
      <c r="B134" s="26">
        <v>45783.0</v>
      </c>
      <c r="C134" s="29" t="s">
        <v>45</v>
      </c>
      <c r="D134" s="29" t="s">
        <v>46</v>
      </c>
      <c r="E134" s="29" t="s">
        <v>53</v>
      </c>
      <c r="F134" s="29" t="s">
        <v>75</v>
      </c>
      <c r="G134" s="29">
        <v>8.0</v>
      </c>
      <c r="H134" s="30">
        <v>1638.0</v>
      </c>
      <c r="I134" s="30">
        <v>13104.0</v>
      </c>
      <c r="J134" s="29">
        <v>15.0</v>
      </c>
      <c r="K134" s="30">
        <v>1966.0</v>
      </c>
      <c r="L134" s="30">
        <v>11138.0</v>
      </c>
      <c r="M134" s="29" t="s">
        <v>87</v>
      </c>
      <c r="N134" s="29" t="s">
        <v>72</v>
      </c>
      <c r="O134" s="29" t="s">
        <v>57</v>
      </c>
      <c r="P134" s="15">
        <f t="shared" si="1"/>
        <v>5</v>
      </c>
    </row>
    <row r="135">
      <c r="A135" s="25">
        <v>20058.0</v>
      </c>
      <c r="B135" s="26">
        <v>45783.0</v>
      </c>
      <c r="C135" s="25" t="s">
        <v>92</v>
      </c>
      <c r="D135" s="25" t="s">
        <v>25</v>
      </c>
      <c r="E135" s="25" t="s">
        <v>53</v>
      </c>
      <c r="F135" s="25" t="s">
        <v>48</v>
      </c>
      <c r="G135" s="25">
        <v>4.0</v>
      </c>
      <c r="H135" s="28">
        <v>1548.0</v>
      </c>
      <c r="I135" s="28">
        <v>6192.0</v>
      </c>
      <c r="J135" s="25">
        <v>0.0</v>
      </c>
      <c r="K135" s="28">
        <v>0.0</v>
      </c>
      <c r="L135" s="28">
        <v>6192.0</v>
      </c>
      <c r="M135" s="25" t="s">
        <v>81</v>
      </c>
      <c r="N135" s="25" t="s">
        <v>43</v>
      </c>
      <c r="O135" s="25" t="s">
        <v>44</v>
      </c>
      <c r="P135" s="15">
        <f t="shared" si="1"/>
        <v>5</v>
      </c>
    </row>
    <row r="136">
      <c r="A136" s="20">
        <v>20280.0</v>
      </c>
      <c r="B136" s="26">
        <v>45783.0</v>
      </c>
      <c r="C136" s="20" t="s">
        <v>89</v>
      </c>
      <c r="D136" s="20" t="s">
        <v>46</v>
      </c>
      <c r="E136" s="20" t="s">
        <v>59</v>
      </c>
      <c r="F136" s="20" t="s">
        <v>86</v>
      </c>
      <c r="G136" s="20">
        <v>15.0</v>
      </c>
      <c r="H136" s="24">
        <v>203.0</v>
      </c>
      <c r="I136" s="24">
        <v>3045.0</v>
      </c>
      <c r="J136" s="20">
        <v>0.0</v>
      </c>
      <c r="K136" s="24">
        <v>0.0</v>
      </c>
      <c r="L136" s="24">
        <v>3045.0</v>
      </c>
      <c r="M136" s="20" t="s">
        <v>61</v>
      </c>
      <c r="N136" s="20" t="s">
        <v>50</v>
      </c>
      <c r="O136" s="20" t="s">
        <v>57</v>
      </c>
      <c r="P136" s="15">
        <f t="shared" si="1"/>
        <v>5</v>
      </c>
    </row>
    <row r="137">
      <c r="A137" s="34">
        <v>20045.0</v>
      </c>
      <c r="B137" s="26">
        <v>45784.0</v>
      </c>
      <c r="C137" s="34" t="s">
        <v>66</v>
      </c>
      <c r="D137" s="34" t="s">
        <v>46</v>
      </c>
      <c r="E137" s="34" t="s">
        <v>47</v>
      </c>
      <c r="F137" s="34" t="s">
        <v>27</v>
      </c>
      <c r="G137" s="34">
        <v>11.0</v>
      </c>
      <c r="H137" s="35">
        <v>1369.0</v>
      </c>
      <c r="I137" s="35">
        <v>15059.0</v>
      </c>
      <c r="J137" s="34">
        <v>0.0</v>
      </c>
      <c r="K137" s="35">
        <v>0.0</v>
      </c>
      <c r="L137" s="35">
        <v>15059.0</v>
      </c>
      <c r="M137" s="34" t="s">
        <v>96</v>
      </c>
      <c r="N137" s="34" t="s">
        <v>72</v>
      </c>
      <c r="O137" s="34" t="s">
        <v>44</v>
      </c>
      <c r="P137" s="15">
        <f t="shared" si="1"/>
        <v>5</v>
      </c>
    </row>
    <row r="138">
      <c r="A138" s="20">
        <v>20292.0</v>
      </c>
      <c r="B138" s="26">
        <v>45785.0</v>
      </c>
      <c r="C138" s="20" t="s">
        <v>92</v>
      </c>
      <c r="D138" s="20" t="s">
        <v>25</v>
      </c>
      <c r="E138" s="20" t="s">
        <v>53</v>
      </c>
      <c r="F138" s="20" t="s">
        <v>95</v>
      </c>
      <c r="G138" s="20">
        <v>13.0</v>
      </c>
      <c r="H138" s="24">
        <v>301.0</v>
      </c>
      <c r="I138" s="24">
        <v>3913.0</v>
      </c>
      <c r="J138" s="20">
        <v>5.0</v>
      </c>
      <c r="K138" s="24">
        <v>196.0</v>
      </c>
      <c r="L138" s="24">
        <v>3717.0</v>
      </c>
      <c r="M138" s="20" t="s">
        <v>61</v>
      </c>
      <c r="N138" s="20" t="s">
        <v>50</v>
      </c>
      <c r="O138" s="20" t="s">
        <v>44</v>
      </c>
      <c r="P138" s="15">
        <f t="shared" si="1"/>
        <v>5</v>
      </c>
    </row>
    <row r="139">
      <c r="A139" s="25">
        <v>20310.0</v>
      </c>
      <c r="B139" s="26">
        <v>45785.0</v>
      </c>
      <c r="C139" s="25" t="s">
        <v>93</v>
      </c>
      <c r="D139" s="25" t="s">
        <v>25</v>
      </c>
      <c r="E139" s="25" t="s">
        <v>59</v>
      </c>
      <c r="F139" s="25" t="s">
        <v>79</v>
      </c>
      <c r="G139" s="25">
        <v>15.0</v>
      </c>
      <c r="H139" s="28">
        <v>200.0</v>
      </c>
      <c r="I139" s="28">
        <v>3000.0</v>
      </c>
      <c r="J139" s="25">
        <v>20.0</v>
      </c>
      <c r="K139" s="28">
        <v>600.0</v>
      </c>
      <c r="L139" s="28">
        <v>2400.0</v>
      </c>
      <c r="M139" s="25" t="s">
        <v>42</v>
      </c>
      <c r="N139" s="25" t="s">
        <v>56</v>
      </c>
      <c r="O139" s="25" t="s">
        <v>44</v>
      </c>
      <c r="P139" s="15">
        <f t="shared" si="1"/>
        <v>5</v>
      </c>
    </row>
    <row r="140">
      <c r="A140" s="29">
        <v>20101.0</v>
      </c>
      <c r="B140" s="26">
        <v>45786.0</v>
      </c>
      <c r="C140" s="29" t="s">
        <v>80</v>
      </c>
      <c r="D140" s="29" t="s">
        <v>64</v>
      </c>
      <c r="E140" s="29" t="s">
        <v>26</v>
      </c>
      <c r="F140" s="29" t="s">
        <v>94</v>
      </c>
      <c r="G140" s="29">
        <v>14.0</v>
      </c>
      <c r="H140" s="30">
        <v>146.0</v>
      </c>
      <c r="I140" s="30">
        <v>2044.0</v>
      </c>
      <c r="J140" s="29">
        <v>10.0</v>
      </c>
      <c r="K140" s="30">
        <v>204.0</v>
      </c>
      <c r="L140" s="30">
        <v>1840.0</v>
      </c>
      <c r="M140" s="29" t="s">
        <v>55</v>
      </c>
      <c r="N140" s="29" t="s">
        <v>62</v>
      </c>
      <c r="O140" s="29" t="s">
        <v>69</v>
      </c>
      <c r="P140" s="15">
        <f t="shared" si="1"/>
        <v>5</v>
      </c>
    </row>
    <row r="141">
      <c r="A141" s="34">
        <v>20133.0</v>
      </c>
      <c r="B141" s="26">
        <v>45786.0</v>
      </c>
      <c r="C141" s="34" t="s">
        <v>93</v>
      </c>
      <c r="D141" s="34" t="s">
        <v>25</v>
      </c>
      <c r="E141" s="34" t="s">
        <v>59</v>
      </c>
      <c r="F141" s="34" t="s">
        <v>85</v>
      </c>
      <c r="G141" s="34">
        <v>9.0</v>
      </c>
      <c r="H141" s="35">
        <v>123.0</v>
      </c>
      <c r="I141" s="35">
        <v>1107.0</v>
      </c>
      <c r="J141" s="34">
        <v>0.0</v>
      </c>
      <c r="K141" s="35">
        <v>0.0</v>
      </c>
      <c r="L141" s="35">
        <v>1107.0</v>
      </c>
      <c r="M141" s="34" t="s">
        <v>68</v>
      </c>
      <c r="N141" s="34" t="s">
        <v>72</v>
      </c>
      <c r="O141" s="34" t="s">
        <v>44</v>
      </c>
      <c r="P141" s="15">
        <f t="shared" si="1"/>
        <v>5</v>
      </c>
    </row>
    <row r="142">
      <c r="A142" s="20">
        <v>20414.0</v>
      </c>
      <c r="B142" s="26">
        <v>45786.0</v>
      </c>
      <c r="C142" s="20" t="s">
        <v>93</v>
      </c>
      <c r="D142" s="20" t="s">
        <v>25</v>
      </c>
      <c r="E142" s="20" t="s">
        <v>59</v>
      </c>
      <c r="F142" s="20" t="s">
        <v>79</v>
      </c>
      <c r="G142" s="20">
        <v>12.0</v>
      </c>
      <c r="H142" s="24">
        <v>190.0</v>
      </c>
      <c r="I142" s="24">
        <v>2280.0</v>
      </c>
      <c r="J142" s="20">
        <v>20.0</v>
      </c>
      <c r="K142" s="24">
        <v>456.0</v>
      </c>
      <c r="L142" s="24">
        <v>1824.0</v>
      </c>
      <c r="M142" s="20" t="s">
        <v>71</v>
      </c>
      <c r="N142" s="20" t="s">
        <v>43</v>
      </c>
      <c r="O142" s="20" t="s">
        <v>57</v>
      </c>
      <c r="P142" s="15">
        <f t="shared" si="1"/>
        <v>5</v>
      </c>
    </row>
    <row r="143">
      <c r="A143" s="25">
        <v>20198.0</v>
      </c>
      <c r="B143" s="26">
        <v>45788.0</v>
      </c>
      <c r="C143" s="25" t="s">
        <v>99</v>
      </c>
      <c r="D143" s="25" t="s">
        <v>64</v>
      </c>
      <c r="E143" s="25" t="s">
        <v>53</v>
      </c>
      <c r="F143" s="25" t="s">
        <v>98</v>
      </c>
      <c r="G143" s="25">
        <v>2.0</v>
      </c>
      <c r="H143" s="28">
        <v>1058.0</v>
      </c>
      <c r="I143" s="28">
        <v>2116.0</v>
      </c>
      <c r="J143" s="25">
        <v>15.0</v>
      </c>
      <c r="K143" s="28">
        <v>317.0</v>
      </c>
      <c r="L143" s="28">
        <v>1799.0</v>
      </c>
      <c r="M143" s="25" t="s">
        <v>106</v>
      </c>
      <c r="N143" s="25" t="s">
        <v>62</v>
      </c>
      <c r="O143" s="25" t="s">
        <v>44</v>
      </c>
      <c r="P143" s="15">
        <f t="shared" si="1"/>
        <v>5</v>
      </c>
    </row>
    <row r="144">
      <c r="A144" s="20">
        <v>20262.0</v>
      </c>
      <c r="B144" s="26">
        <v>45790.0</v>
      </c>
      <c r="C144" s="20" t="s">
        <v>80</v>
      </c>
      <c r="D144" s="20" t="s">
        <v>64</v>
      </c>
      <c r="E144" s="20" t="s">
        <v>53</v>
      </c>
      <c r="F144" s="20" t="s">
        <v>75</v>
      </c>
      <c r="G144" s="20">
        <v>12.0</v>
      </c>
      <c r="H144" s="24">
        <v>540.0</v>
      </c>
      <c r="I144" s="24">
        <v>6480.0</v>
      </c>
      <c r="J144" s="20">
        <v>20.0</v>
      </c>
      <c r="K144" s="24">
        <v>1296.0</v>
      </c>
      <c r="L144" s="24">
        <v>5184.0</v>
      </c>
      <c r="M144" s="20" t="s">
        <v>61</v>
      </c>
      <c r="N144" s="20" t="s">
        <v>72</v>
      </c>
      <c r="O144" s="20" t="s">
        <v>57</v>
      </c>
      <c r="P144" s="15">
        <f t="shared" si="1"/>
        <v>5</v>
      </c>
    </row>
    <row r="145">
      <c r="A145" s="34">
        <v>20051.0</v>
      </c>
      <c r="B145" s="26">
        <v>45791.0</v>
      </c>
      <c r="C145" s="34" t="s">
        <v>51</v>
      </c>
      <c r="D145" s="34" t="s">
        <v>52</v>
      </c>
      <c r="E145" s="34" t="s">
        <v>53</v>
      </c>
      <c r="F145" s="34" t="s">
        <v>75</v>
      </c>
      <c r="G145" s="34">
        <v>8.0</v>
      </c>
      <c r="H145" s="35">
        <v>1857.0</v>
      </c>
      <c r="I145" s="35">
        <v>14856.0</v>
      </c>
      <c r="J145" s="34">
        <v>20.0</v>
      </c>
      <c r="K145" s="35">
        <v>2971.0</v>
      </c>
      <c r="L145" s="35">
        <v>11885.0</v>
      </c>
      <c r="M145" s="34" t="s">
        <v>61</v>
      </c>
      <c r="N145" s="34" t="s">
        <v>72</v>
      </c>
      <c r="O145" s="34" t="s">
        <v>69</v>
      </c>
      <c r="P145" s="15">
        <f t="shared" si="1"/>
        <v>5</v>
      </c>
    </row>
    <row r="146">
      <c r="A146" s="29">
        <v>20401.0</v>
      </c>
      <c r="B146" s="26">
        <v>45791.0</v>
      </c>
      <c r="C146" s="29" t="s">
        <v>80</v>
      </c>
      <c r="D146" s="29" t="s">
        <v>64</v>
      </c>
      <c r="E146" s="29" t="s">
        <v>59</v>
      </c>
      <c r="F146" s="29" t="s">
        <v>83</v>
      </c>
      <c r="G146" s="29">
        <v>2.0</v>
      </c>
      <c r="H146" s="30">
        <v>234.0</v>
      </c>
      <c r="I146" s="30">
        <v>468.0</v>
      </c>
      <c r="J146" s="29">
        <v>20.0</v>
      </c>
      <c r="K146" s="30">
        <v>94.0</v>
      </c>
      <c r="L146" s="30">
        <v>374.0</v>
      </c>
      <c r="M146" s="29" t="s">
        <v>87</v>
      </c>
      <c r="N146" s="29" t="s">
        <v>72</v>
      </c>
      <c r="O146" s="29" t="s">
        <v>57</v>
      </c>
      <c r="P146" s="15">
        <f t="shared" si="1"/>
        <v>5</v>
      </c>
    </row>
    <row r="147">
      <c r="A147" s="34">
        <v>20381.0</v>
      </c>
      <c r="B147" s="26">
        <v>45792.0</v>
      </c>
      <c r="C147" s="34" t="s">
        <v>80</v>
      </c>
      <c r="D147" s="34" t="s">
        <v>64</v>
      </c>
      <c r="E147" s="34" t="s">
        <v>59</v>
      </c>
      <c r="F147" s="34" t="s">
        <v>86</v>
      </c>
      <c r="G147" s="34">
        <v>6.0</v>
      </c>
      <c r="H147" s="35">
        <v>252.0</v>
      </c>
      <c r="I147" s="35">
        <v>1512.0</v>
      </c>
      <c r="J147" s="34">
        <v>10.0</v>
      </c>
      <c r="K147" s="35">
        <v>151.0</v>
      </c>
      <c r="L147" s="35">
        <v>1361.0</v>
      </c>
      <c r="M147" s="34" t="s">
        <v>61</v>
      </c>
      <c r="N147" s="34" t="s">
        <v>72</v>
      </c>
      <c r="O147" s="34" t="s">
        <v>44</v>
      </c>
      <c r="P147" s="15">
        <f t="shared" si="1"/>
        <v>5</v>
      </c>
    </row>
    <row r="148">
      <c r="A148" s="20">
        <v>20102.0</v>
      </c>
      <c r="B148" s="26">
        <v>45793.0</v>
      </c>
      <c r="C148" s="20" t="s">
        <v>93</v>
      </c>
      <c r="D148" s="20" t="s">
        <v>25</v>
      </c>
      <c r="E148" s="20" t="s">
        <v>77</v>
      </c>
      <c r="F148" s="20" t="s">
        <v>105</v>
      </c>
      <c r="G148" s="20">
        <v>7.0</v>
      </c>
      <c r="H148" s="24">
        <v>7008.0</v>
      </c>
      <c r="I148" s="24">
        <v>49056.0</v>
      </c>
      <c r="J148" s="20">
        <v>20.0</v>
      </c>
      <c r="K148" s="24">
        <v>9811.0</v>
      </c>
      <c r="L148" s="24">
        <v>39245.0</v>
      </c>
      <c r="M148" s="20" t="s">
        <v>55</v>
      </c>
      <c r="N148" s="20" t="s">
        <v>56</v>
      </c>
      <c r="O148" s="20" t="s">
        <v>57</v>
      </c>
      <c r="P148" s="15">
        <f t="shared" si="1"/>
        <v>5</v>
      </c>
    </row>
    <row r="149">
      <c r="A149" s="34">
        <v>20145.0</v>
      </c>
      <c r="B149" s="26">
        <v>45794.0</v>
      </c>
      <c r="C149" s="34" t="s">
        <v>92</v>
      </c>
      <c r="D149" s="34" t="s">
        <v>25</v>
      </c>
      <c r="E149" s="34" t="s">
        <v>59</v>
      </c>
      <c r="F149" s="34" t="s">
        <v>79</v>
      </c>
      <c r="G149" s="34">
        <v>7.0</v>
      </c>
      <c r="H149" s="35">
        <v>224.0</v>
      </c>
      <c r="I149" s="35">
        <v>1568.0</v>
      </c>
      <c r="J149" s="34">
        <v>0.0</v>
      </c>
      <c r="K149" s="35">
        <v>0.0</v>
      </c>
      <c r="L149" s="35">
        <v>1568.0</v>
      </c>
      <c r="M149" s="34" t="s">
        <v>55</v>
      </c>
      <c r="N149" s="34" t="s">
        <v>72</v>
      </c>
      <c r="O149" s="34" t="s">
        <v>44</v>
      </c>
      <c r="P149" s="15">
        <f t="shared" si="1"/>
        <v>5</v>
      </c>
    </row>
    <row r="150">
      <c r="A150" s="29">
        <v>20245.0</v>
      </c>
      <c r="B150" s="26">
        <v>45795.0</v>
      </c>
      <c r="C150" s="29" t="s">
        <v>24</v>
      </c>
      <c r="D150" s="29" t="s">
        <v>52</v>
      </c>
      <c r="E150" s="29" t="s">
        <v>59</v>
      </c>
      <c r="F150" s="29" t="s">
        <v>86</v>
      </c>
      <c r="G150" s="29">
        <v>2.0</v>
      </c>
      <c r="H150" s="30">
        <v>443.0</v>
      </c>
      <c r="I150" s="30">
        <v>886.0</v>
      </c>
      <c r="J150" s="29">
        <v>15.0</v>
      </c>
      <c r="K150" s="30">
        <v>133.0</v>
      </c>
      <c r="L150" s="30">
        <v>753.0</v>
      </c>
      <c r="M150" s="29" t="s">
        <v>55</v>
      </c>
      <c r="N150" s="29" t="s">
        <v>43</v>
      </c>
      <c r="O150" s="29" t="s">
        <v>44</v>
      </c>
      <c r="P150" s="15">
        <f t="shared" si="1"/>
        <v>5</v>
      </c>
    </row>
    <row r="151">
      <c r="A151" s="34">
        <v>20247.0</v>
      </c>
      <c r="B151" s="26">
        <v>45795.0</v>
      </c>
      <c r="C151" s="34" t="s">
        <v>84</v>
      </c>
      <c r="D151" s="34" t="s">
        <v>46</v>
      </c>
      <c r="E151" s="34" t="s">
        <v>53</v>
      </c>
      <c r="F151" s="34" t="s">
        <v>95</v>
      </c>
      <c r="G151" s="34">
        <v>9.0</v>
      </c>
      <c r="H151" s="35">
        <v>1292.0</v>
      </c>
      <c r="I151" s="35">
        <v>11628.0</v>
      </c>
      <c r="J151" s="34">
        <v>0.0</v>
      </c>
      <c r="K151" s="35">
        <v>0.0</v>
      </c>
      <c r="L151" s="35">
        <v>11628.0</v>
      </c>
      <c r="M151" s="34" t="s">
        <v>71</v>
      </c>
      <c r="N151" s="34" t="s">
        <v>43</v>
      </c>
      <c r="O151" s="34" t="s">
        <v>69</v>
      </c>
      <c r="P151" s="15">
        <f t="shared" si="1"/>
        <v>5</v>
      </c>
    </row>
    <row r="152">
      <c r="A152" s="20">
        <v>20282.0</v>
      </c>
      <c r="B152" s="26">
        <v>45796.0</v>
      </c>
      <c r="C152" s="20" t="s">
        <v>80</v>
      </c>
      <c r="D152" s="20" t="s">
        <v>64</v>
      </c>
      <c r="E152" s="20" t="s">
        <v>26</v>
      </c>
      <c r="F152" s="20" t="s">
        <v>74</v>
      </c>
      <c r="G152" s="20">
        <v>10.0</v>
      </c>
      <c r="H152" s="24">
        <v>344.0</v>
      </c>
      <c r="I152" s="24">
        <v>3440.0</v>
      </c>
      <c r="J152" s="20">
        <v>20.0</v>
      </c>
      <c r="K152" s="24">
        <v>688.0</v>
      </c>
      <c r="L152" s="24">
        <v>2752.0</v>
      </c>
      <c r="M152" s="20" t="s">
        <v>42</v>
      </c>
      <c r="N152" s="20" t="s">
        <v>56</v>
      </c>
      <c r="O152" s="20" t="s">
        <v>44</v>
      </c>
      <c r="P152" s="15">
        <f t="shared" si="1"/>
        <v>5</v>
      </c>
    </row>
    <row r="153">
      <c r="A153" s="25">
        <v>20114.0</v>
      </c>
      <c r="B153" s="26">
        <v>45797.0</v>
      </c>
      <c r="C153" s="25" t="s">
        <v>99</v>
      </c>
      <c r="D153" s="25" t="s">
        <v>64</v>
      </c>
      <c r="E153" s="25" t="s">
        <v>47</v>
      </c>
      <c r="F153" s="25" t="s">
        <v>91</v>
      </c>
      <c r="G153" s="25">
        <v>6.0</v>
      </c>
      <c r="H153" s="28">
        <v>2192.0</v>
      </c>
      <c r="I153" s="28">
        <v>13152.0</v>
      </c>
      <c r="J153" s="25">
        <v>10.0</v>
      </c>
      <c r="K153" s="28">
        <v>1315.0</v>
      </c>
      <c r="L153" s="28">
        <v>11837.0</v>
      </c>
      <c r="M153" s="25" t="s">
        <v>96</v>
      </c>
      <c r="N153" s="25" t="s">
        <v>62</v>
      </c>
      <c r="O153" s="25" t="s">
        <v>69</v>
      </c>
      <c r="P153" s="15">
        <f t="shared" si="1"/>
        <v>5</v>
      </c>
    </row>
    <row r="154">
      <c r="A154" s="29">
        <v>20035.0</v>
      </c>
      <c r="B154" s="26">
        <v>45800.0</v>
      </c>
      <c r="C154" s="29" t="s">
        <v>45</v>
      </c>
      <c r="D154" s="29" t="s">
        <v>46</v>
      </c>
      <c r="E154" s="29" t="s">
        <v>47</v>
      </c>
      <c r="F154" s="29" t="s">
        <v>27</v>
      </c>
      <c r="G154" s="29">
        <v>11.0</v>
      </c>
      <c r="H154" s="30">
        <v>930.0</v>
      </c>
      <c r="I154" s="30">
        <v>10230.0</v>
      </c>
      <c r="J154" s="29">
        <v>10.0</v>
      </c>
      <c r="K154" s="30">
        <v>1023.0</v>
      </c>
      <c r="L154" s="30">
        <v>9207.0</v>
      </c>
      <c r="M154" s="29" t="s">
        <v>96</v>
      </c>
      <c r="N154" s="29" t="s">
        <v>62</v>
      </c>
      <c r="O154" s="29" t="s">
        <v>69</v>
      </c>
      <c r="P154" s="15">
        <f t="shared" si="1"/>
        <v>5</v>
      </c>
    </row>
    <row r="155">
      <c r="A155" s="34">
        <v>20223.0</v>
      </c>
      <c r="B155" s="26">
        <v>45801.0</v>
      </c>
      <c r="C155" s="34" t="s">
        <v>51</v>
      </c>
      <c r="D155" s="34" t="s">
        <v>52</v>
      </c>
      <c r="E155" s="34" t="s">
        <v>53</v>
      </c>
      <c r="F155" s="34" t="s">
        <v>102</v>
      </c>
      <c r="G155" s="34">
        <v>15.0</v>
      </c>
      <c r="H155" s="35">
        <v>1416.0</v>
      </c>
      <c r="I155" s="35">
        <v>21240.0</v>
      </c>
      <c r="J155" s="34">
        <v>0.0</v>
      </c>
      <c r="K155" s="35">
        <v>0.0</v>
      </c>
      <c r="L155" s="35">
        <v>21240.0</v>
      </c>
      <c r="M155" s="34" t="s">
        <v>42</v>
      </c>
      <c r="N155" s="34" t="s">
        <v>50</v>
      </c>
      <c r="O155" s="34" t="s">
        <v>44</v>
      </c>
      <c r="P155" s="15">
        <f t="shared" si="1"/>
        <v>5</v>
      </c>
    </row>
    <row r="156">
      <c r="A156" s="20">
        <v>20136.0</v>
      </c>
      <c r="B156" s="26">
        <v>45804.0</v>
      </c>
      <c r="C156" s="20" t="s">
        <v>82</v>
      </c>
      <c r="D156" s="20" t="s">
        <v>52</v>
      </c>
      <c r="E156" s="20" t="s">
        <v>77</v>
      </c>
      <c r="F156" s="20" t="s">
        <v>105</v>
      </c>
      <c r="G156" s="20">
        <v>8.0</v>
      </c>
      <c r="H156" s="24">
        <v>5940.0</v>
      </c>
      <c r="I156" s="24">
        <v>47520.0</v>
      </c>
      <c r="J156" s="20">
        <v>0.0</v>
      </c>
      <c r="K156" s="24">
        <v>0.0</v>
      </c>
      <c r="L156" s="24">
        <v>47520.0</v>
      </c>
      <c r="M156" s="20" t="s">
        <v>106</v>
      </c>
      <c r="N156" s="20" t="s">
        <v>50</v>
      </c>
      <c r="O156" s="20" t="s">
        <v>57</v>
      </c>
      <c r="P156" s="15">
        <f t="shared" si="1"/>
        <v>5</v>
      </c>
    </row>
    <row r="157">
      <c r="A157" s="34">
        <v>20175.0</v>
      </c>
      <c r="B157" s="26">
        <v>45806.0</v>
      </c>
      <c r="C157" s="34" t="s">
        <v>93</v>
      </c>
      <c r="D157" s="34" t="s">
        <v>25</v>
      </c>
      <c r="E157" s="34" t="s">
        <v>53</v>
      </c>
      <c r="F157" s="34" t="s">
        <v>98</v>
      </c>
      <c r="G157" s="34">
        <v>2.0</v>
      </c>
      <c r="H157" s="35">
        <v>1204.0</v>
      </c>
      <c r="I157" s="35">
        <v>2408.0</v>
      </c>
      <c r="J157" s="34">
        <v>15.0</v>
      </c>
      <c r="K157" s="35">
        <v>361.0</v>
      </c>
      <c r="L157" s="35">
        <v>2047.0</v>
      </c>
      <c r="M157" s="34" t="s">
        <v>42</v>
      </c>
      <c r="N157" s="34" t="s">
        <v>50</v>
      </c>
      <c r="O157" s="34" t="s">
        <v>69</v>
      </c>
      <c r="P157" s="15">
        <f t="shared" si="1"/>
        <v>5</v>
      </c>
    </row>
    <row r="158">
      <c r="A158" s="20">
        <v>20224.0</v>
      </c>
      <c r="B158" s="26">
        <v>45807.0</v>
      </c>
      <c r="C158" s="20" t="s">
        <v>92</v>
      </c>
      <c r="D158" s="20" t="s">
        <v>25</v>
      </c>
      <c r="E158" s="20" t="s">
        <v>59</v>
      </c>
      <c r="F158" s="20" t="s">
        <v>86</v>
      </c>
      <c r="G158" s="20">
        <v>3.0</v>
      </c>
      <c r="H158" s="24">
        <v>397.0</v>
      </c>
      <c r="I158" s="24">
        <v>1191.0</v>
      </c>
      <c r="J158" s="20">
        <v>15.0</v>
      </c>
      <c r="K158" s="24">
        <v>179.0</v>
      </c>
      <c r="L158" s="24">
        <v>1012.0</v>
      </c>
      <c r="M158" s="20" t="s">
        <v>61</v>
      </c>
      <c r="N158" s="20" t="s">
        <v>43</v>
      </c>
      <c r="O158" s="20" t="s">
        <v>69</v>
      </c>
      <c r="P158" s="15">
        <f t="shared" si="1"/>
        <v>5</v>
      </c>
    </row>
    <row r="159">
      <c r="A159" s="25">
        <v>20346.0</v>
      </c>
      <c r="B159" s="26">
        <v>45807.0</v>
      </c>
      <c r="C159" s="25" t="s">
        <v>45</v>
      </c>
      <c r="D159" s="25" t="s">
        <v>46</v>
      </c>
      <c r="E159" s="25" t="s">
        <v>26</v>
      </c>
      <c r="F159" s="25" t="s">
        <v>104</v>
      </c>
      <c r="G159" s="25">
        <v>15.0</v>
      </c>
      <c r="H159" s="28">
        <v>288.0</v>
      </c>
      <c r="I159" s="28">
        <v>4320.0</v>
      </c>
      <c r="J159" s="25">
        <v>0.0</v>
      </c>
      <c r="K159" s="28">
        <v>0.0</v>
      </c>
      <c r="L159" s="28">
        <v>4320.0</v>
      </c>
      <c r="M159" s="25" t="s">
        <v>96</v>
      </c>
      <c r="N159" s="25" t="s">
        <v>56</v>
      </c>
      <c r="O159" s="25" t="s">
        <v>69</v>
      </c>
      <c r="P159" s="15">
        <f t="shared" si="1"/>
        <v>5</v>
      </c>
    </row>
    <row r="160">
      <c r="A160" s="20">
        <v>20294.0</v>
      </c>
      <c r="B160" s="26">
        <v>45808.0</v>
      </c>
      <c r="C160" s="20" t="s">
        <v>97</v>
      </c>
      <c r="D160" s="20" t="s">
        <v>25</v>
      </c>
      <c r="E160" s="20" t="s">
        <v>53</v>
      </c>
      <c r="F160" s="20" t="s">
        <v>95</v>
      </c>
      <c r="G160" s="20">
        <v>2.0</v>
      </c>
      <c r="H160" s="24">
        <v>647.0</v>
      </c>
      <c r="I160" s="24">
        <v>1294.0</v>
      </c>
      <c r="J160" s="20">
        <v>15.0</v>
      </c>
      <c r="K160" s="24">
        <v>194.0</v>
      </c>
      <c r="L160" s="24">
        <v>1100.0</v>
      </c>
      <c r="M160" s="20" t="s">
        <v>71</v>
      </c>
      <c r="N160" s="20" t="s">
        <v>56</v>
      </c>
      <c r="O160" s="20" t="s">
        <v>69</v>
      </c>
      <c r="P160" s="15">
        <f t="shared" si="1"/>
        <v>5</v>
      </c>
    </row>
    <row r="161">
      <c r="A161" s="25">
        <v>20180.0</v>
      </c>
      <c r="B161" s="26">
        <v>45810.0</v>
      </c>
      <c r="C161" s="25" t="s">
        <v>58</v>
      </c>
      <c r="D161" s="25" t="s">
        <v>25</v>
      </c>
      <c r="E161" s="25" t="s">
        <v>53</v>
      </c>
      <c r="F161" s="25" t="s">
        <v>95</v>
      </c>
      <c r="G161" s="25">
        <v>8.0</v>
      </c>
      <c r="H161" s="28">
        <v>573.0</v>
      </c>
      <c r="I161" s="28">
        <v>4584.0</v>
      </c>
      <c r="J161" s="25">
        <v>0.0</v>
      </c>
      <c r="K161" s="28">
        <v>0.0</v>
      </c>
      <c r="L161" s="28">
        <v>4584.0</v>
      </c>
      <c r="M161" s="25" t="s">
        <v>106</v>
      </c>
      <c r="N161" s="25" t="s">
        <v>62</v>
      </c>
      <c r="O161" s="25" t="s">
        <v>44</v>
      </c>
      <c r="P161" s="15">
        <f t="shared" si="1"/>
        <v>6</v>
      </c>
    </row>
    <row r="162">
      <c r="A162" s="20">
        <v>20038.0</v>
      </c>
      <c r="B162" s="26">
        <v>45811.0</v>
      </c>
      <c r="C162" s="20" t="s">
        <v>89</v>
      </c>
      <c r="D162" s="20" t="s">
        <v>46</v>
      </c>
      <c r="E162" s="20" t="s">
        <v>59</v>
      </c>
      <c r="F162" s="20" t="s">
        <v>85</v>
      </c>
      <c r="G162" s="20">
        <v>7.0</v>
      </c>
      <c r="H162" s="24">
        <v>158.0</v>
      </c>
      <c r="I162" s="24">
        <v>1106.0</v>
      </c>
      <c r="J162" s="20">
        <v>15.0</v>
      </c>
      <c r="K162" s="24">
        <v>166.0</v>
      </c>
      <c r="L162" s="24">
        <v>940.0</v>
      </c>
      <c r="M162" s="20" t="s">
        <v>61</v>
      </c>
      <c r="N162" s="20" t="s">
        <v>50</v>
      </c>
      <c r="O162" s="20" t="s">
        <v>57</v>
      </c>
      <c r="P162" s="15">
        <f t="shared" si="1"/>
        <v>6</v>
      </c>
    </row>
    <row r="163">
      <c r="A163" s="25">
        <v>20220.0</v>
      </c>
      <c r="B163" s="26">
        <v>45811.0</v>
      </c>
      <c r="C163" s="25" t="s">
        <v>82</v>
      </c>
      <c r="D163" s="25" t="s">
        <v>52</v>
      </c>
      <c r="E163" s="25" t="s">
        <v>26</v>
      </c>
      <c r="F163" s="25" t="s">
        <v>74</v>
      </c>
      <c r="G163" s="25">
        <v>5.0</v>
      </c>
      <c r="H163" s="28">
        <v>372.0</v>
      </c>
      <c r="I163" s="28">
        <v>1860.0</v>
      </c>
      <c r="J163" s="25">
        <v>5.0</v>
      </c>
      <c r="K163" s="28">
        <v>93.0</v>
      </c>
      <c r="L163" s="28">
        <v>1767.0</v>
      </c>
      <c r="M163" s="25" t="s">
        <v>71</v>
      </c>
      <c r="N163" s="25" t="s">
        <v>50</v>
      </c>
      <c r="O163" s="25" t="s">
        <v>44</v>
      </c>
      <c r="P163" s="15">
        <f t="shared" si="1"/>
        <v>6</v>
      </c>
    </row>
    <row r="164">
      <c r="A164" s="29">
        <v>20089.0</v>
      </c>
      <c r="B164" s="26">
        <v>45812.0</v>
      </c>
      <c r="C164" s="29" t="s">
        <v>99</v>
      </c>
      <c r="D164" s="29" t="s">
        <v>64</v>
      </c>
      <c r="E164" s="29" t="s">
        <v>59</v>
      </c>
      <c r="F164" s="29" t="s">
        <v>86</v>
      </c>
      <c r="G164" s="29">
        <v>2.0</v>
      </c>
      <c r="H164" s="30">
        <v>243.0</v>
      </c>
      <c r="I164" s="30">
        <v>486.0</v>
      </c>
      <c r="J164" s="29">
        <v>15.0</v>
      </c>
      <c r="K164" s="30">
        <v>73.0</v>
      </c>
      <c r="L164" s="30">
        <v>413.0</v>
      </c>
      <c r="M164" s="29" t="s">
        <v>96</v>
      </c>
      <c r="N164" s="29" t="s">
        <v>62</v>
      </c>
      <c r="O164" s="29" t="s">
        <v>57</v>
      </c>
      <c r="P164" s="15">
        <f t="shared" si="1"/>
        <v>6</v>
      </c>
    </row>
    <row r="165">
      <c r="A165" s="34">
        <v>20195.0</v>
      </c>
      <c r="B165" s="26">
        <v>45812.0</v>
      </c>
      <c r="C165" s="34" t="s">
        <v>76</v>
      </c>
      <c r="D165" s="34" t="s">
        <v>64</v>
      </c>
      <c r="E165" s="34" t="s">
        <v>47</v>
      </c>
      <c r="F165" s="34" t="s">
        <v>65</v>
      </c>
      <c r="G165" s="34">
        <v>7.0</v>
      </c>
      <c r="H165" s="35">
        <v>916.0</v>
      </c>
      <c r="I165" s="35">
        <v>6412.0</v>
      </c>
      <c r="J165" s="34">
        <v>15.0</v>
      </c>
      <c r="K165" s="35">
        <v>962.0</v>
      </c>
      <c r="L165" s="35">
        <v>5450.0</v>
      </c>
      <c r="M165" s="34" t="s">
        <v>61</v>
      </c>
      <c r="N165" s="34" t="s">
        <v>56</v>
      </c>
      <c r="O165" s="34" t="s">
        <v>44</v>
      </c>
      <c r="P165" s="15">
        <f t="shared" si="1"/>
        <v>6</v>
      </c>
    </row>
    <row r="166">
      <c r="A166" s="29">
        <v>20307.0</v>
      </c>
      <c r="B166" s="26">
        <v>45813.0</v>
      </c>
      <c r="C166" s="29" t="s">
        <v>89</v>
      </c>
      <c r="D166" s="29" t="s">
        <v>46</v>
      </c>
      <c r="E166" s="29" t="s">
        <v>53</v>
      </c>
      <c r="F166" s="29" t="s">
        <v>48</v>
      </c>
      <c r="G166" s="29">
        <v>14.0</v>
      </c>
      <c r="H166" s="30">
        <v>765.0</v>
      </c>
      <c r="I166" s="30">
        <v>10710.0</v>
      </c>
      <c r="J166" s="29">
        <v>15.0</v>
      </c>
      <c r="K166" s="30">
        <v>1606.0</v>
      </c>
      <c r="L166" s="30">
        <v>9104.0</v>
      </c>
      <c r="M166" s="29" t="s">
        <v>42</v>
      </c>
      <c r="N166" s="29" t="s">
        <v>72</v>
      </c>
      <c r="O166" s="29" t="s">
        <v>44</v>
      </c>
      <c r="P166" s="15">
        <f t="shared" si="1"/>
        <v>6</v>
      </c>
    </row>
    <row r="167">
      <c r="A167" s="34">
        <v>20373.0</v>
      </c>
      <c r="B167" s="26">
        <v>45814.0</v>
      </c>
      <c r="C167" s="34" t="s">
        <v>76</v>
      </c>
      <c r="D167" s="34" t="s">
        <v>64</v>
      </c>
      <c r="E167" s="34" t="s">
        <v>47</v>
      </c>
      <c r="F167" s="34" t="s">
        <v>103</v>
      </c>
      <c r="G167" s="34">
        <v>6.0</v>
      </c>
      <c r="H167" s="35">
        <v>1481.0</v>
      </c>
      <c r="I167" s="35">
        <v>8886.0</v>
      </c>
      <c r="J167" s="34">
        <v>0.0</v>
      </c>
      <c r="K167" s="35">
        <v>0.0</v>
      </c>
      <c r="L167" s="35">
        <v>8886.0</v>
      </c>
      <c r="M167" s="34" t="s">
        <v>106</v>
      </c>
      <c r="N167" s="34" t="s">
        <v>43</v>
      </c>
      <c r="O167" s="34" t="s">
        <v>44</v>
      </c>
      <c r="P167" s="15">
        <f t="shared" si="1"/>
        <v>6</v>
      </c>
    </row>
    <row r="168">
      <c r="A168" s="29">
        <v>20143.0</v>
      </c>
      <c r="B168" s="26">
        <v>45816.0</v>
      </c>
      <c r="C168" s="29" t="s">
        <v>51</v>
      </c>
      <c r="D168" s="29" t="s">
        <v>52</v>
      </c>
      <c r="E168" s="29" t="s">
        <v>47</v>
      </c>
      <c r="F168" s="29" t="s">
        <v>27</v>
      </c>
      <c r="G168" s="29">
        <v>5.0</v>
      </c>
      <c r="H168" s="30">
        <v>1370.0</v>
      </c>
      <c r="I168" s="30">
        <v>6850.0</v>
      </c>
      <c r="J168" s="29">
        <v>0.0</v>
      </c>
      <c r="K168" s="30">
        <v>0.0</v>
      </c>
      <c r="L168" s="30">
        <v>6850.0</v>
      </c>
      <c r="M168" s="29" t="s">
        <v>81</v>
      </c>
      <c r="N168" s="29" t="s">
        <v>72</v>
      </c>
      <c r="O168" s="29" t="s">
        <v>44</v>
      </c>
      <c r="P168" s="15">
        <f t="shared" si="1"/>
        <v>6</v>
      </c>
    </row>
    <row r="169">
      <c r="A169" s="34">
        <v>20023.0</v>
      </c>
      <c r="B169" s="26">
        <v>45818.0</v>
      </c>
      <c r="C169" s="34" t="s">
        <v>93</v>
      </c>
      <c r="D169" s="34" t="s">
        <v>25</v>
      </c>
      <c r="E169" s="34" t="s">
        <v>26</v>
      </c>
      <c r="F169" s="34" t="s">
        <v>70</v>
      </c>
      <c r="G169" s="34">
        <v>8.0</v>
      </c>
      <c r="H169" s="35">
        <v>634.0</v>
      </c>
      <c r="I169" s="35">
        <v>5072.0</v>
      </c>
      <c r="J169" s="34">
        <v>10.0</v>
      </c>
      <c r="K169" s="35">
        <v>507.0</v>
      </c>
      <c r="L169" s="35">
        <v>4565.0</v>
      </c>
      <c r="M169" s="34" t="s">
        <v>71</v>
      </c>
      <c r="N169" s="34" t="s">
        <v>50</v>
      </c>
      <c r="O169" s="34" t="s">
        <v>69</v>
      </c>
      <c r="P169" s="15">
        <f t="shared" si="1"/>
        <v>6</v>
      </c>
    </row>
    <row r="170">
      <c r="A170" s="29">
        <v>20107.0</v>
      </c>
      <c r="B170" s="26">
        <v>45818.0</v>
      </c>
      <c r="C170" s="29" t="s">
        <v>66</v>
      </c>
      <c r="D170" s="29" t="s">
        <v>46</v>
      </c>
      <c r="E170" s="29" t="s">
        <v>53</v>
      </c>
      <c r="F170" s="29" t="s">
        <v>75</v>
      </c>
      <c r="G170" s="29">
        <v>11.0</v>
      </c>
      <c r="H170" s="30">
        <v>485.0</v>
      </c>
      <c r="I170" s="30">
        <v>5335.0</v>
      </c>
      <c r="J170" s="29">
        <v>5.0</v>
      </c>
      <c r="K170" s="30">
        <v>267.0</v>
      </c>
      <c r="L170" s="30">
        <v>5068.0</v>
      </c>
      <c r="M170" s="29" t="s">
        <v>71</v>
      </c>
      <c r="N170" s="29" t="s">
        <v>72</v>
      </c>
      <c r="O170" s="29" t="s">
        <v>69</v>
      </c>
      <c r="P170" s="15">
        <f t="shared" si="1"/>
        <v>6</v>
      </c>
    </row>
    <row r="171">
      <c r="A171" s="34">
        <v>20405.0</v>
      </c>
      <c r="B171" s="26">
        <v>45818.0</v>
      </c>
      <c r="C171" s="34" t="s">
        <v>45</v>
      </c>
      <c r="D171" s="34" t="s">
        <v>46</v>
      </c>
      <c r="E171" s="34" t="s">
        <v>77</v>
      </c>
      <c r="F171" s="34" t="s">
        <v>88</v>
      </c>
      <c r="G171" s="34">
        <v>5.0</v>
      </c>
      <c r="H171" s="35">
        <v>7012.0</v>
      </c>
      <c r="I171" s="35">
        <v>35060.0</v>
      </c>
      <c r="J171" s="34">
        <v>15.0</v>
      </c>
      <c r="K171" s="35">
        <v>5259.0</v>
      </c>
      <c r="L171" s="35">
        <v>29801.0</v>
      </c>
      <c r="M171" s="34" t="s">
        <v>106</v>
      </c>
      <c r="N171" s="34" t="s">
        <v>50</v>
      </c>
      <c r="O171" s="34" t="s">
        <v>57</v>
      </c>
      <c r="P171" s="15">
        <f t="shared" si="1"/>
        <v>6</v>
      </c>
    </row>
    <row r="172">
      <c r="A172" s="29">
        <v>20025.0</v>
      </c>
      <c r="B172" s="26">
        <v>45819.0</v>
      </c>
      <c r="C172" s="29" t="s">
        <v>66</v>
      </c>
      <c r="D172" s="29" t="s">
        <v>46</v>
      </c>
      <c r="E172" s="29" t="s">
        <v>77</v>
      </c>
      <c r="F172" s="29" t="s">
        <v>105</v>
      </c>
      <c r="G172" s="29">
        <v>12.0</v>
      </c>
      <c r="H172" s="30">
        <v>2855.0</v>
      </c>
      <c r="I172" s="30">
        <v>34260.0</v>
      </c>
      <c r="J172" s="29">
        <v>15.0</v>
      </c>
      <c r="K172" s="30">
        <v>5139.0</v>
      </c>
      <c r="L172" s="30">
        <v>29121.0</v>
      </c>
      <c r="M172" s="29" t="s">
        <v>96</v>
      </c>
      <c r="N172" s="29" t="s">
        <v>43</v>
      </c>
      <c r="O172" s="29" t="s">
        <v>44</v>
      </c>
      <c r="P172" s="15">
        <f t="shared" si="1"/>
        <v>6</v>
      </c>
    </row>
    <row r="173">
      <c r="A173" s="25">
        <v>20212.0</v>
      </c>
      <c r="B173" s="26">
        <v>45819.0</v>
      </c>
      <c r="C173" s="25" t="s">
        <v>97</v>
      </c>
      <c r="D173" s="25" t="s">
        <v>25</v>
      </c>
      <c r="E173" s="25" t="s">
        <v>77</v>
      </c>
      <c r="F173" s="25" t="s">
        <v>88</v>
      </c>
      <c r="G173" s="25">
        <v>3.0</v>
      </c>
      <c r="H173" s="28">
        <v>1530.0</v>
      </c>
      <c r="I173" s="28">
        <v>4590.0</v>
      </c>
      <c r="J173" s="25">
        <v>10.0</v>
      </c>
      <c r="K173" s="28">
        <v>459.0</v>
      </c>
      <c r="L173" s="28">
        <v>4131.0</v>
      </c>
      <c r="M173" s="25" t="s">
        <v>61</v>
      </c>
      <c r="N173" s="25" t="s">
        <v>56</v>
      </c>
      <c r="O173" s="25" t="s">
        <v>44</v>
      </c>
      <c r="P173" s="15">
        <f t="shared" si="1"/>
        <v>6</v>
      </c>
    </row>
    <row r="174">
      <c r="A174" s="20">
        <v>20266.0</v>
      </c>
      <c r="B174" s="26">
        <v>45821.0</v>
      </c>
      <c r="C174" s="20" t="s">
        <v>66</v>
      </c>
      <c r="D174" s="20" t="s">
        <v>46</v>
      </c>
      <c r="E174" s="20" t="s">
        <v>26</v>
      </c>
      <c r="F174" s="20" t="s">
        <v>70</v>
      </c>
      <c r="G174" s="20">
        <v>6.0</v>
      </c>
      <c r="H174" s="24">
        <v>242.0</v>
      </c>
      <c r="I174" s="24">
        <v>1452.0</v>
      </c>
      <c r="J174" s="20">
        <v>0.0</v>
      </c>
      <c r="K174" s="24">
        <v>0.0</v>
      </c>
      <c r="L174" s="24">
        <v>1452.0</v>
      </c>
      <c r="M174" s="20" t="s">
        <v>87</v>
      </c>
      <c r="N174" s="20" t="s">
        <v>62</v>
      </c>
      <c r="O174" s="20" t="s">
        <v>44</v>
      </c>
      <c r="P174" s="15">
        <f t="shared" si="1"/>
        <v>6</v>
      </c>
    </row>
    <row r="175">
      <c r="A175" s="34">
        <v>20317.0</v>
      </c>
      <c r="B175" s="26">
        <v>45821.0</v>
      </c>
      <c r="C175" s="34" t="s">
        <v>76</v>
      </c>
      <c r="D175" s="34" t="s">
        <v>64</v>
      </c>
      <c r="E175" s="34" t="s">
        <v>26</v>
      </c>
      <c r="F175" s="34" t="s">
        <v>94</v>
      </c>
      <c r="G175" s="34">
        <v>8.0</v>
      </c>
      <c r="H175" s="35">
        <v>422.0</v>
      </c>
      <c r="I175" s="35">
        <v>3376.0</v>
      </c>
      <c r="J175" s="34">
        <v>15.0</v>
      </c>
      <c r="K175" s="35">
        <v>506.0</v>
      </c>
      <c r="L175" s="35">
        <v>2870.0</v>
      </c>
      <c r="M175" s="34" t="s">
        <v>81</v>
      </c>
      <c r="N175" s="34" t="s">
        <v>56</v>
      </c>
      <c r="O175" s="34" t="s">
        <v>57</v>
      </c>
      <c r="P175" s="15">
        <f t="shared" si="1"/>
        <v>6</v>
      </c>
    </row>
    <row r="176">
      <c r="A176" s="20">
        <v>20040.0</v>
      </c>
      <c r="B176" s="26">
        <v>45822.0</v>
      </c>
      <c r="C176" s="20" t="s">
        <v>73</v>
      </c>
      <c r="D176" s="20" t="s">
        <v>52</v>
      </c>
      <c r="E176" s="20" t="s">
        <v>59</v>
      </c>
      <c r="F176" s="20" t="s">
        <v>86</v>
      </c>
      <c r="G176" s="20">
        <v>11.0</v>
      </c>
      <c r="H176" s="24">
        <v>436.0</v>
      </c>
      <c r="I176" s="24">
        <v>4796.0</v>
      </c>
      <c r="J176" s="20">
        <v>15.0</v>
      </c>
      <c r="K176" s="24">
        <v>719.0</v>
      </c>
      <c r="L176" s="24">
        <v>4077.0</v>
      </c>
      <c r="M176" s="20" t="s">
        <v>71</v>
      </c>
      <c r="N176" s="20" t="s">
        <v>72</v>
      </c>
      <c r="O176" s="20" t="s">
        <v>57</v>
      </c>
      <c r="P176" s="15">
        <f t="shared" si="1"/>
        <v>6</v>
      </c>
    </row>
    <row r="177">
      <c r="A177" s="25">
        <v>20118.0</v>
      </c>
      <c r="B177" s="26">
        <v>45824.0</v>
      </c>
      <c r="C177" s="25" t="s">
        <v>80</v>
      </c>
      <c r="D177" s="25" t="s">
        <v>64</v>
      </c>
      <c r="E177" s="25" t="s">
        <v>47</v>
      </c>
      <c r="F177" s="25" t="s">
        <v>27</v>
      </c>
      <c r="G177" s="25">
        <v>14.0</v>
      </c>
      <c r="H177" s="28">
        <v>1195.0</v>
      </c>
      <c r="I177" s="28">
        <v>16730.0</v>
      </c>
      <c r="J177" s="25">
        <v>5.0</v>
      </c>
      <c r="K177" s="28">
        <v>836.0</v>
      </c>
      <c r="L177" s="28">
        <v>15894.0</v>
      </c>
      <c r="M177" s="25" t="s">
        <v>49</v>
      </c>
      <c r="N177" s="25" t="s">
        <v>43</v>
      </c>
      <c r="O177" s="25" t="s">
        <v>57</v>
      </c>
      <c r="P177" s="15">
        <f t="shared" si="1"/>
        <v>6</v>
      </c>
    </row>
    <row r="178">
      <c r="A178" s="20">
        <v>20218.0</v>
      </c>
      <c r="B178" s="26">
        <v>45824.0</v>
      </c>
      <c r="C178" s="20" t="s">
        <v>51</v>
      </c>
      <c r="D178" s="20" t="s">
        <v>52</v>
      </c>
      <c r="E178" s="20" t="s">
        <v>26</v>
      </c>
      <c r="F178" s="20" t="s">
        <v>74</v>
      </c>
      <c r="G178" s="20">
        <v>7.0</v>
      </c>
      <c r="H178" s="24">
        <v>517.0</v>
      </c>
      <c r="I178" s="24">
        <v>3619.0</v>
      </c>
      <c r="J178" s="20">
        <v>0.0</v>
      </c>
      <c r="K178" s="24">
        <v>0.0</v>
      </c>
      <c r="L178" s="24">
        <v>3619.0</v>
      </c>
      <c r="M178" s="20" t="s">
        <v>49</v>
      </c>
      <c r="N178" s="20" t="s">
        <v>56</v>
      </c>
      <c r="O178" s="20" t="s">
        <v>69</v>
      </c>
      <c r="P178" s="15">
        <f t="shared" si="1"/>
        <v>6</v>
      </c>
    </row>
    <row r="179">
      <c r="A179" s="25">
        <v>20168.0</v>
      </c>
      <c r="B179" s="26">
        <v>45825.0</v>
      </c>
      <c r="C179" s="25" t="s">
        <v>84</v>
      </c>
      <c r="D179" s="25" t="s">
        <v>46</v>
      </c>
      <c r="E179" s="25" t="s">
        <v>77</v>
      </c>
      <c r="F179" s="25" t="s">
        <v>110</v>
      </c>
      <c r="G179" s="25">
        <v>10.0</v>
      </c>
      <c r="H179" s="28">
        <v>5763.0</v>
      </c>
      <c r="I179" s="28">
        <v>57630.0</v>
      </c>
      <c r="J179" s="25">
        <v>10.0</v>
      </c>
      <c r="K179" s="28">
        <v>5763.0</v>
      </c>
      <c r="L179" s="28">
        <v>51867.0</v>
      </c>
      <c r="M179" s="25" t="s">
        <v>42</v>
      </c>
      <c r="N179" s="25" t="s">
        <v>56</v>
      </c>
      <c r="O179" s="25" t="s">
        <v>44</v>
      </c>
      <c r="P179" s="15">
        <f t="shared" si="1"/>
        <v>6</v>
      </c>
    </row>
    <row r="180">
      <c r="A180" s="29">
        <v>20187.0</v>
      </c>
      <c r="B180" s="26">
        <v>45825.0</v>
      </c>
      <c r="C180" s="29" t="s">
        <v>73</v>
      </c>
      <c r="D180" s="29" t="s">
        <v>52</v>
      </c>
      <c r="E180" s="29" t="s">
        <v>26</v>
      </c>
      <c r="F180" s="29" t="s">
        <v>94</v>
      </c>
      <c r="G180" s="29">
        <v>4.0</v>
      </c>
      <c r="H180" s="30">
        <v>620.0</v>
      </c>
      <c r="I180" s="30">
        <v>2480.0</v>
      </c>
      <c r="J180" s="29">
        <v>5.0</v>
      </c>
      <c r="K180" s="30">
        <v>124.0</v>
      </c>
      <c r="L180" s="30">
        <v>2356.0</v>
      </c>
      <c r="M180" s="29" t="s">
        <v>68</v>
      </c>
      <c r="N180" s="29" t="s">
        <v>56</v>
      </c>
      <c r="O180" s="29" t="s">
        <v>44</v>
      </c>
      <c r="P180" s="15">
        <f t="shared" si="1"/>
        <v>6</v>
      </c>
    </row>
    <row r="181">
      <c r="A181" s="25">
        <v>20246.0</v>
      </c>
      <c r="B181" s="26">
        <v>45825.0</v>
      </c>
      <c r="C181" s="25" t="s">
        <v>97</v>
      </c>
      <c r="D181" s="25" t="s">
        <v>25</v>
      </c>
      <c r="E181" s="25" t="s">
        <v>26</v>
      </c>
      <c r="F181" s="25" t="s">
        <v>94</v>
      </c>
      <c r="G181" s="25">
        <v>8.0</v>
      </c>
      <c r="H181" s="28">
        <v>486.0</v>
      </c>
      <c r="I181" s="28">
        <v>3888.0</v>
      </c>
      <c r="J181" s="25">
        <v>0.0</v>
      </c>
      <c r="K181" s="28">
        <v>0.0</v>
      </c>
      <c r="L181" s="28">
        <v>3888.0</v>
      </c>
      <c r="M181" s="25" t="s">
        <v>61</v>
      </c>
      <c r="N181" s="25" t="s">
        <v>50</v>
      </c>
      <c r="O181" s="25" t="s">
        <v>44</v>
      </c>
      <c r="P181" s="15">
        <f t="shared" si="1"/>
        <v>6</v>
      </c>
    </row>
    <row r="182">
      <c r="A182" s="29">
        <v>20231.0</v>
      </c>
      <c r="B182" s="26">
        <v>45827.0</v>
      </c>
      <c r="C182" s="29" t="s">
        <v>24</v>
      </c>
      <c r="D182" s="29" t="s">
        <v>52</v>
      </c>
      <c r="E182" s="29" t="s">
        <v>59</v>
      </c>
      <c r="F182" s="29" t="s">
        <v>60</v>
      </c>
      <c r="G182" s="29">
        <v>13.0</v>
      </c>
      <c r="H182" s="30">
        <v>155.0</v>
      </c>
      <c r="I182" s="30">
        <v>2015.0</v>
      </c>
      <c r="J182" s="29">
        <v>5.0</v>
      </c>
      <c r="K182" s="30">
        <v>101.0</v>
      </c>
      <c r="L182" s="30">
        <v>1914.0</v>
      </c>
      <c r="M182" s="29" t="s">
        <v>81</v>
      </c>
      <c r="N182" s="29" t="s">
        <v>56</v>
      </c>
      <c r="O182" s="29" t="s">
        <v>69</v>
      </c>
      <c r="P182" s="15">
        <f t="shared" si="1"/>
        <v>6</v>
      </c>
    </row>
    <row r="183">
      <c r="A183" s="25">
        <v>20342.0</v>
      </c>
      <c r="B183" s="26">
        <v>45827.0</v>
      </c>
      <c r="C183" s="25" t="s">
        <v>66</v>
      </c>
      <c r="D183" s="25" t="s">
        <v>46</v>
      </c>
      <c r="E183" s="25" t="s">
        <v>26</v>
      </c>
      <c r="F183" s="25" t="s">
        <v>70</v>
      </c>
      <c r="G183" s="25">
        <v>4.0</v>
      </c>
      <c r="H183" s="28">
        <v>507.0</v>
      </c>
      <c r="I183" s="28">
        <v>2028.0</v>
      </c>
      <c r="J183" s="25">
        <v>5.0</v>
      </c>
      <c r="K183" s="28">
        <v>101.0</v>
      </c>
      <c r="L183" s="28">
        <v>1927.0</v>
      </c>
      <c r="M183" s="25" t="s">
        <v>49</v>
      </c>
      <c r="N183" s="25" t="s">
        <v>43</v>
      </c>
      <c r="O183" s="25" t="s">
        <v>69</v>
      </c>
      <c r="P183" s="15">
        <f t="shared" si="1"/>
        <v>6</v>
      </c>
    </row>
    <row r="184">
      <c r="A184" s="20">
        <v>20030.0</v>
      </c>
      <c r="B184" s="26">
        <v>45828.0</v>
      </c>
      <c r="C184" s="20" t="s">
        <v>76</v>
      </c>
      <c r="D184" s="20" t="s">
        <v>64</v>
      </c>
      <c r="E184" s="20" t="s">
        <v>53</v>
      </c>
      <c r="F184" s="20" t="s">
        <v>75</v>
      </c>
      <c r="G184" s="20">
        <v>12.0</v>
      </c>
      <c r="H184" s="24">
        <v>1744.0</v>
      </c>
      <c r="I184" s="24">
        <v>20928.0</v>
      </c>
      <c r="J184" s="20">
        <v>0.0</v>
      </c>
      <c r="K184" s="24">
        <v>0.0</v>
      </c>
      <c r="L184" s="24">
        <v>20928.0</v>
      </c>
      <c r="M184" s="20" t="s">
        <v>71</v>
      </c>
      <c r="N184" s="20" t="s">
        <v>62</v>
      </c>
      <c r="O184" s="20" t="s">
        <v>57</v>
      </c>
      <c r="P184" s="15">
        <f t="shared" si="1"/>
        <v>6</v>
      </c>
    </row>
    <row r="185">
      <c r="A185" s="25">
        <v>20074.0</v>
      </c>
      <c r="B185" s="26">
        <v>45828.0</v>
      </c>
      <c r="C185" s="25" t="s">
        <v>84</v>
      </c>
      <c r="D185" s="25" t="s">
        <v>46</v>
      </c>
      <c r="E185" s="25" t="s">
        <v>26</v>
      </c>
      <c r="F185" s="25" t="s">
        <v>100</v>
      </c>
      <c r="G185" s="25">
        <v>6.0</v>
      </c>
      <c r="H185" s="28">
        <v>541.0</v>
      </c>
      <c r="I185" s="28">
        <v>3246.0</v>
      </c>
      <c r="J185" s="25">
        <v>20.0</v>
      </c>
      <c r="K185" s="28">
        <v>649.0</v>
      </c>
      <c r="L185" s="28">
        <v>2597.0</v>
      </c>
      <c r="M185" s="25" t="s">
        <v>87</v>
      </c>
      <c r="N185" s="25" t="s">
        <v>62</v>
      </c>
      <c r="O185" s="25" t="s">
        <v>44</v>
      </c>
      <c r="P185" s="15">
        <f t="shared" si="1"/>
        <v>6</v>
      </c>
    </row>
    <row r="186">
      <c r="A186" s="29">
        <v>20323.0</v>
      </c>
      <c r="B186" s="26">
        <v>45828.0</v>
      </c>
      <c r="C186" s="29" t="s">
        <v>80</v>
      </c>
      <c r="D186" s="29" t="s">
        <v>64</v>
      </c>
      <c r="E186" s="29" t="s">
        <v>53</v>
      </c>
      <c r="F186" s="29" t="s">
        <v>98</v>
      </c>
      <c r="G186" s="29">
        <v>1.0</v>
      </c>
      <c r="H186" s="30">
        <v>859.0</v>
      </c>
      <c r="I186" s="30">
        <v>859.0</v>
      </c>
      <c r="J186" s="29">
        <v>10.0</v>
      </c>
      <c r="K186" s="30">
        <v>86.0</v>
      </c>
      <c r="L186" s="30">
        <v>773.0</v>
      </c>
      <c r="M186" s="29" t="s">
        <v>68</v>
      </c>
      <c r="N186" s="29" t="s">
        <v>43</v>
      </c>
      <c r="O186" s="29" t="s">
        <v>69</v>
      </c>
      <c r="P186" s="15">
        <f t="shared" si="1"/>
        <v>6</v>
      </c>
    </row>
    <row r="187">
      <c r="A187" s="34">
        <v>20415.0</v>
      </c>
      <c r="B187" s="26">
        <v>45829.0</v>
      </c>
      <c r="C187" s="34" t="s">
        <v>66</v>
      </c>
      <c r="D187" s="34" t="s">
        <v>46</v>
      </c>
      <c r="E187" s="34" t="s">
        <v>53</v>
      </c>
      <c r="F187" s="34" t="s">
        <v>95</v>
      </c>
      <c r="G187" s="34">
        <v>9.0</v>
      </c>
      <c r="H187" s="35">
        <v>339.0</v>
      </c>
      <c r="I187" s="35">
        <v>3051.0</v>
      </c>
      <c r="J187" s="34">
        <v>0.0</v>
      </c>
      <c r="K187" s="35">
        <v>0.0</v>
      </c>
      <c r="L187" s="35">
        <v>3051.0</v>
      </c>
      <c r="M187" s="34" t="s">
        <v>49</v>
      </c>
      <c r="N187" s="34" t="s">
        <v>50</v>
      </c>
      <c r="O187" s="34" t="s">
        <v>57</v>
      </c>
      <c r="P187" s="15">
        <f t="shared" si="1"/>
        <v>6</v>
      </c>
    </row>
    <row r="188">
      <c r="A188" s="20">
        <v>20288.0</v>
      </c>
      <c r="B188" s="26">
        <v>45830.0</v>
      </c>
      <c r="C188" s="20" t="s">
        <v>89</v>
      </c>
      <c r="D188" s="20" t="s">
        <v>46</v>
      </c>
      <c r="E188" s="20" t="s">
        <v>53</v>
      </c>
      <c r="F188" s="20" t="s">
        <v>75</v>
      </c>
      <c r="G188" s="20">
        <v>3.0</v>
      </c>
      <c r="H188" s="24">
        <v>1608.0</v>
      </c>
      <c r="I188" s="24">
        <v>4824.0</v>
      </c>
      <c r="J188" s="20">
        <v>0.0</v>
      </c>
      <c r="K188" s="24">
        <v>0.0</v>
      </c>
      <c r="L188" s="24">
        <v>4824.0</v>
      </c>
      <c r="M188" s="20" t="s">
        <v>87</v>
      </c>
      <c r="N188" s="20" t="s">
        <v>56</v>
      </c>
      <c r="O188" s="20" t="s">
        <v>44</v>
      </c>
      <c r="P188" s="15">
        <f t="shared" si="1"/>
        <v>6</v>
      </c>
    </row>
    <row r="189">
      <c r="A189" s="25">
        <v>20316.0</v>
      </c>
      <c r="B189" s="26">
        <v>45830.0</v>
      </c>
      <c r="C189" s="25" t="s">
        <v>66</v>
      </c>
      <c r="D189" s="25" t="s">
        <v>46</v>
      </c>
      <c r="E189" s="25" t="s">
        <v>53</v>
      </c>
      <c r="F189" s="25" t="s">
        <v>95</v>
      </c>
      <c r="G189" s="25">
        <v>5.0</v>
      </c>
      <c r="H189" s="28">
        <v>606.0</v>
      </c>
      <c r="I189" s="28">
        <v>3030.0</v>
      </c>
      <c r="J189" s="25">
        <v>0.0</v>
      </c>
      <c r="K189" s="28">
        <v>0.0</v>
      </c>
      <c r="L189" s="28">
        <v>3030.0</v>
      </c>
      <c r="M189" s="25" t="s">
        <v>49</v>
      </c>
      <c r="N189" s="25" t="s">
        <v>43</v>
      </c>
      <c r="O189" s="25" t="s">
        <v>57</v>
      </c>
      <c r="P189" s="15">
        <f t="shared" si="1"/>
        <v>6</v>
      </c>
    </row>
    <row r="190">
      <c r="A190" s="29">
        <v>20295.0</v>
      </c>
      <c r="B190" s="26">
        <v>45831.0</v>
      </c>
      <c r="C190" s="29" t="s">
        <v>82</v>
      </c>
      <c r="D190" s="29" t="s">
        <v>52</v>
      </c>
      <c r="E190" s="29" t="s">
        <v>26</v>
      </c>
      <c r="F190" s="29" t="s">
        <v>111</v>
      </c>
      <c r="G190" s="29">
        <v>11.0</v>
      </c>
      <c r="H190" s="30">
        <v>288.0</v>
      </c>
      <c r="I190" s="30">
        <v>3168.0</v>
      </c>
      <c r="J190" s="29">
        <v>0.0</v>
      </c>
      <c r="K190" s="30">
        <v>0.0</v>
      </c>
      <c r="L190" s="30">
        <v>3168.0</v>
      </c>
      <c r="M190" s="29" t="s">
        <v>55</v>
      </c>
      <c r="N190" s="29" t="s">
        <v>50</v>
      </c>
      <c r="O190" s="29" t="s">
        <v>69</v>
      </c>
      <c r="P190" s="15">
        <f t="shared" si="1"/>
        <v>6</v>
      </c>
    </row>
    <row r="191">
      <c r="A191" s="25">
        <v>20080.0</v>
      </c>
      <c r="B191" s="26">
        <v>45832.0</v>
      </c>
      <c r="C191" s="25" t="s">
        <v>66</v>
      </c>
      <c r="D191" s="25" t="s">
        <v>46</v>
      </c>
      <c r="E191" s="25" t="s">
        <v>26</v>
      </c>
      <c r="F191" s="25" t="s">
        <v>74</v>
      </c>
      <c r="G191" s="25">
        <v>12.0</v>
      </c>
      <c r="H191" s="28">
        <v>425.0</v>
      </c>
      <c r="I191" s="28">
        <v>5100.0</v>
      </c>
      <c r="J191" s="25">
        <v>20.0</v>
      </c>
      <c r="K191" s="28">
        <v>1020.0</v>
      </c>
      <c r="L191" s="28">
        <v>4080.0</v>
      </c>
      <c r="M191" s="25" t="s">
        <v>68</v>
      </c>
      <c r="N191" s="25" t="s">
        <v>43</v>
      </c>
      <c r="O191" s="25" t="s">
        <v>57</v>
      </c>
      <c r="P191" s="15">
        <f t="shared" si="1"/>
        <v>6</v>
      </c>
    </row>
    <row r="192">
      <c r="A192" s="29">
        <v>20029.0</v>
      </c>
      <c r="B192" s="26">
        <v>45833.0</v>
      </c>
      <c r="C192" s="29" t="s">
        <v>99</v>
      </c>
      <c r="D192" s="29" t="s">
        <v>64</v>
      </c>
      <c r="E192" s="29" t="s">
        <v>53</v>
      </c>
      <c r="F192" s="29" t="s">
        <v>54</v>
      </c>
      <c r="G192" s="29">
        <v>8.0</v>
      </c>
      <c r="H192" s="30">
        <v>403.0</v>
      </c>
      <c r="I192" s="30">
        <v>3224.0</v>
      </c>
      <c r="J192" s="29">
        <v>20.0</v>
      </c>
      <c r="K192" s="30">
        <v>645.0</v>
      </c>
      <c r="L192" s="30">
        <v>2579.0</v>
      </c>
      <c r="M192" s="29" t="s">
        <v>96</v>
      </c>
      <c r="N192" s="29" t="s">
        <v>62</v>
      </c>
      <c r="O192" s="29" t="s">
        <v>69</v>
      </c>
      <c r="P192" s="15">
        <f t="shared" si="1"/>
        <v>6</v>
      </c>
    </row>
    <row r="193">
      <c r="A193" s="34">
        <v>20125.0</v>
      </c>
      <c r="B193" s="26">
        <v>45833.0</v>
      </c>
      <c r="C193" s="34" t="s">
        <v>92</v>
      </c>
      <c r="D193" s="34" t="s">
        <v>25</v>
      </c>
      <c r="E193" s="34" t="s">
        <v>47</v>
      </c>
      <c r="F193" s="34" t="s">
        <v>65</v>
      </c>
      <c r="G193" s="34">
        <v>1.0</v>
      </c>
      <c r="H193" s="35">
        <v>2345.0</v>
      </c>
      <c r="I193" s="35">
        <v>2345.0</v>
      </c>
      <c r="J193" s="34">
        <v>10.0</v>
      </c>
      <c r="K193" s="35">
        <v>234.0</v>
      </c>
      <c r="L193" s="35">
        <v>2111.0</v>
      </c>
      <c r="M193" s="34" t="s">
        <v>49</v>
      </c>
      <c r="N193" s="34" t="s">
        <v>50</v>
      </c>
      <c r="O193" s="34" t="s">
        <v>44</v>
      </c>
      <c r="P193" s="15">
        <f t="shared" si="1"/>
        <v>6</v>
      </c>
    </row>
    <row r="194">
      <c r="A194" s="29">
        <v>20173.0</v>
      </c>
      <c r="B194" s="26">
        <v>45833.0</v>
      </c>
      <c r="C194" s="29" t="s">
        <v>45</v>
      </c>
      <c r="D194" s="29" t="s">
        <v>46</v>
      </c>
      <c r="E194" s="29" t="s">
        <v>53</v>
      </c>
      <c r="F194" s="29" t="s">
        <v>54</v>
      </c>
      <c r="G194" s="29">
        <v>8.0</v>
      </c>
      <c r="H194" s="30">
        <v>870.0</v>
      </c>
      <c r="I194" s="30">
        <v>6960.0</v>
      </c>
      <c r="J194" s="29">
        <v>0.0</v>
      </c>
      <c r="K194" s="30">
        <v>0.0</v>
      </c>
      <c r="L194" s="30">
        <v>6960.0</v>
      </c>
      <c r="M194" s="29" t="s">
        <v>96</v>
      </c>
      <c r="N194" s="29" t="s">
        <v>72</v>
      </c>
      <c r="O194" s="29" t="s">
        <v>57</v>
      </c>
      <c r="P194" s="15">
        <f t="shared" si="1"/>
        <v>6</v>
      </c>
    </row>
    <row r="195">
      <c r="A195" s="34">
        <v>20229.0</v>
      </c>
      <c r="B195" s="26">
        <v>45833.0</v>
      </c>
      <c r="C195" s="34" t="s">
        <v>73</v>
      </c>
      <c r="D195" s="34" t="s">
        <v>52</v>
      </c>
      <c r="E195" s="34" t="s">
        <v>77</v>
      </c>
      <c r="F195" s="34" t="s">
        <v>88</v>
      </c>
      <c r="G195" s="34">
        <v>8.0</v>
      </c>
      <c r="H195" s="35">
        <v>4800.0</v>
      </c>
      <c r="I195" s="35">
        <v>38400.0</v>
      </c>
      <c r="J195" s="34">
        <v>0.0</v>
      </c>
      <c r="K195" s="35">
        <v>0.0</v>
      </c>
      <c r="L195" s="35">
        <v>38400.0</v>
      </c>
      <c r="M195" s="34" t="s">
        <v>71</v>
      </c>
      <c r="N195" s="34" t="s">
        <v>72</v>
      </c>
      <c r="O195" s="34" t="s">
        <v>69</v>
      </c>
      <c r="P195" s="15">
        <f t="shared" si="1"/>
        <v>6</v>
      </c>
    </row>
    <row r="196">
      <c r="A196" s="20">
        <v>20418.0</v>
      </c>
      <c r="B196" s="26">
        <v>45833.0</v>
      </c>
      <c r="C196" s="20" t="s">
        <v>63</v>
      </c>
      <c r="D196" s="20" t="s">
        <v>64</v>
      </c>
      <c r="E196" s="20" t="s">
        <v>53</v>
      </c>
      <c r="F196" s="20" t="s">
        <v>95</v>
      </c>
      <c r="G196" s="20">
        <v>11.0</v>
      </c>
      <c r="H196" s="24">
        <v>846.0</v>
      </c>
      <c r="I196" s="24">
        <v>9306.0</v>
      </c>
      <c r="J196" s="20">
        <v>0.0</v>
      </c>
      <c r="K196" s="24">
        <v>0.0</v>
      </c>
      <c r="L196" s="24">
        <v>9306.0</v>
      </c>
      <c r="M196" s="20" t="s">
        <v>42</v>
      </c>
      <c r="N196" s="20" t="s">
        <v>72</v>
      </c>
      <c r="O196" s="20" t="s">
        <v>57</v>
      </c>
      <c r="P196" s="15">
        <f t="shared" si="1"/>
        <v>6</v>
      </c>
    </row>
    <row r="197">
      <c r="A197" s="25">
        <v>20300.0</v>
      </c>
      <c r="B197" s="26">
        <v>45834.0</v>
      </c>
      <c r="C197" s="25" t="s">
        <v>24</v>
      </c>
      <c r="D197" s="25" t="s">
        <v>52</v>
      </c>
      <c r="E197" s="25" t="s">
        <v>47</v>
      </c>
      <c r="F197" s="25" t="s">
        <v>65</v>
      </c>
      <c r="G197" s="25">
        <v>9.0</v>
      </c>
      <c r="H197" s="28">
        <v>1913.0</v>
      </c>
      <c r="I197" s="28">
        <v>17217.0</v>
      </c>
      <c r="J197" s="25">
        <v>10.0</v>
      </c>
      <c r="K197" s="28">
        <v>1722.0</v>
      </c>
      <c r="L197" s="28">
        <v>15495.0</v>
      </c>
      <c r="M197" s="25" t="s">
        <v>42</v>
      </c>
      <c r="N197" s="25" t="s">
        <v>56</v>
      </c>
      <c r="O197" s="25" t="s">
        <v>69</v>
      </c>
      <c r="P197" s="15">
        <f t="shared" si="1"/>
        <v>6</v>
      </c>
    </row>
    <row r="198">
      <c r="A198" s="29">
        <v>20291.0</v>
      </c>
      <c r="B198" s="26">
        <v>45835.0</v>
      </c>
      <c r="C198" s="29" t="s">
        <v>84</v>
      </c>
      <c r="D198" s="29" t="s">
        <v>46</v>
      </c>
      <c r="E198" s="29" t="s">
        <v>77</v>
      </c>
      <c r="F198" s="29" t="s">
        <v>105</v>
      </c>
      <c r="G198" s="29">
        <v>15.0</v>
      </c>
      <c r="H198" s="30">
        <v>7631.0</v>
      </c>
      <c r="I198" s="30">
        <v>114465.0</v>
      </c>
      <c r="J198" s="29">
        <v>5.0</v>
      </c>
      <c r="K198" s="30">
        <v>5723.0</v>
      </c>
      <c r="L198" s="30">
        <v>108742.0</v>
      </c>
      <c r="M198" s="29" t="s">
        <v>81</v>
      </c>
      <c r="N198" s="29" t="s">
        <v>72</v>
      </c>
      <c r="O198" s="29" t="s">
        <v>69</v>
      </c>
      <c r="P198" s="15">
        <f t="shared" si="1"/>
        <v>6</v>
      </c>
    </row>
    <row r="199">
      <c r="A199" s="34">
        <v>20241.0</v>
      </c>
      <c r="B199" s="26">
        <v>45836.0</v>
      </c>
      <c r="C199" s="34" t="s">
        <v>92</v>
      </c>
      <c r="D199" s="34" t="s">
        <v>25</v>
      </c>
      <c r="E199" s="34" t="s">
        <v>59</v>
      </c>
      <c r="F199" s="34" t="s">
        <v>79</v>
      </c>
      <c r="G199" s="34">
        <v>13.0</v>
      </c>
      <c r="H199" s="35">
        <v>361.0</v>
      </c>
      <c r="I199" s="35">
        <v>4693.0</v>
      </c>
      <c r="J199" s="34">
        <v>20.0</v>
      </c>
      <c r="K199" s="35">
        <v>939.0</v>
      </c>
      <c r="L199" s="35">
        <v>3754.0</v>
      </c>
      <c r="M199" s="34" t="s">
        <v>49</v>
      </c>
      <c r="N199" s="34" t="s">
        <v>43</v>
      </c>
      <c r="O199" s="34" t="s">
        <v>69</v>
      </c>
      <c r="P199" s="15">
        <f t="shared" si="1"/>
        <v>6</v>
      </c>
    </row>
    <row r="200">
      <c r="A200" s="20">
        <v>20360.0</v>
      </c>
      <c r="B200" s="26">
        <v>45836.0</v>
      </c>
      <c r="C200" s="20" t="s">
        <v>63</v>
      </c>
      <c r="D200" s="20" t="s">
        <v>64</v>
      </c>
      <c r="E200" s="20" t="s">
        <v>77</v>
      </c>
      <c r="F200" s="20" t="s">
        <v>105</v>
      </c>
      <c r="G200" s="20">
        <v>6.0</v>
      </c>
      <c r="H200" s="24">
        <v>3855.0</v>
      </c>
      <c r="I200" s="24">
        <v>23130.0</v>
      </c>
      <c r="J200" s="20">
        <v>5.0</v>
      </c>
      <c r="K200" s="24">
        <v>1156.0</v>
      </c>
      <c r="L200" s="24">
        <v>21974.0</v>
      </c>
      <c r="M200" s="20" t="s">
        <v>87</v>
      </c>
      <c r="N200" s="20" t="s">
        <v>62</v>
      </c>
      <c r="O200" s="20" t="s">
        <v>69</v>
      </c>
      <c r="P200" s="15">
        <f t="shared" si="1"/>
        <v>6</v>
      </c>
    </row>
    <row r="201">
      <c r="A201" s="34">
        <v>20091.0</v>
      </c>
      <c r="B201" s="26">
        <v>45838.0</v>
      </c>
      <c r="C201" s="34" t="s">
        <v>63</v>
      </c>
      <c r="D201" s="34" t="s">
        <v>64</v>
      </c>
      <c r="E201" s="34" t="s">
        <v>77</v>
      </c>
      <c r="F201" s="34" t="s">
        <v>88</v>
      </c>
      <c r="G201" s="34">
        <v>5.0</v>
      </c>
      <c r="H201" s="35">
        <v>6046.0</v>
      </c>
      <c r="I201" s="35">
        <v>30230.0</v>
      </c>
      <c r="J201" s="34">
        <v>0.0</v>
      </c>
      <c r="K201" s="35">
        <v>0.0</v>
      </c>
      <c r="L201" s="35">
        <v>30230.0</v>
      </c>
      <c r="M201" s="34" t="s">
        <v>42</v>
      </c>
      <c r="N201" s="34" t="s">
        <v>62</v>
      </c>
      <c r="O201" s="34" t="s">
        <v>57</v>
      </c>
      <c r="P201" s="15">
        <f t="shared" si="1"/>
        <v>6</v>
      </c>
    </row>
    <row r="202">
      <c r="A202" s="29">
        <v>20139.0</v>
      </c>
      <c r="B202" s="26">
        <v>45838.0</v>
      </c>
      <c r="C202" s="29" t="s">
        <v>63</v>
      </c>
      <c r="D202" s="29" t="s">
        <v>64</v>
      </c>
      <c r="E202" s="29" t="s">
        <v>47</v>
      </c>
      <c r="F202" s="29" t="s">
        <v>27</v>
      </c>
      <c r="G202" s="29">
        <v>3.0</v>
      </c>
      <c r="H202" s="30">
        <v>2353.0</v>
      </c>
      <c r="I202" s="30">
        <v>7059.0</v>
      </c>
      <c r="J202" s="29">
        <v>10.0</v>
      </c>
      <c r="K202" s="30">
        <v>706.0</v>
      </c>
      <c r="L202" s="30">
        <v>6353.0</v>
      </c>
      <c r="M202" s="29" t="s">
        <v>87</v>
      </c>
      <c r="N202" s="29" t="s">
        <v>56</v>
      </c>
      <c r="O202" s="29" t="s">
        <v>57</v>
      </c>
      <c r="P202" s="15">
        <f t="shared" si="1"/>
        <v>6</v>
      </c>
    </row>
    <row r="203">
      <c r="A203" s="25">
        <v>20284.0</v>
      </c>
      <c r="B203" s="26">
        <v>45839.0</v>
      </c>
      <c r="C203" s="25" t="s">
        <v>80</v>
      </c>
      <c r="D203" s="25" t="s">
        <v>64</v>
      </c>
      <c r="E203" s="25" t="s">
        <v>77</v>
      </c>
      <c r="F203" s="25" t="s">
        <v>78</v>
      </c>
      <c r="G203" s="25">
        <v>10.0</v>
      </c>
      <c r="H203" s="28">
        <v>7504.0</v>
      </c>
      <c r="I203" s="28">
        <v>75040.0</v>
      </c>
      <c r="J203" s="25">
        <v>10.0</v>
      </c>
      <c r="K203" s="28">
        <v>7504.0</v>
      </c>
      <c r="L203" s="28">
        <v>67536.0</v>
      </c>
      <c r="M203" s="25" t="s">
        <v>81</v>
      </c>
      <c r="N203" s="25" t="s">
        <v>72</v>
      </c>
      <c r="O203" s="25" t="s">
        <v>57</v>
      </c>
      <c r="P203" s="15">
        <f t="shared" si="1"/>
        <v>7</v>
      </c>
    </row>
    <row r="204">
      <c r="A204" s="20">
        <v>20274.0</v>
      </c>
      <c r="B204" s="26">
        <v>45841.0</v>
      </c>
      <c r="C204" s="20" t="s">
        <v>99</v>
      </c>
      <c r="D204" s="20" t="s">
        <v>64</v>
      </c>
      <c r="E204" s="20" t="s">
        <v>59</v>
      </c>
      <c r="F204" s="20" t="s">
        <v>85</v>
      </c>
      <c r="G204" s="20">
        <v>8.0</v>
      </c>
      <c r="H204" s="24">
        <v>106.0</v>
      </c>
      <c r="I204" s="24">
        <v>848.0</v>
      </c>
      <c r="J204" s="20">
        <v>20.0</v>
      </c>
      <c r="K204" s="24">
        <v>170.0</v>
      </c>
      <c r="L204" s="24">
        <v>678.0</v>
      </c>
      <c r="M204" s="20" t="s">
        <v>96</v>
      </c>
      <c r="N204" s="20" t="s">
        <v>56</v>
      </c>
      <c r="O204" s="20" t="s">
        <v>69</v>
      </c>
      <c r="P204" s="15">
        <f t="shared" si="1"/>
        <v>7</v>
      </c>
    </row>
    <row r="205">
      <c r="A205" s="25">
        <v>20332.0</v>
      </c>
      <c r="B205" s="26">
        <v>45841.0</v>
      </c>
      <c r="C205" s="25" t="s">
        <v>24</v>
      </c>
      <c r="D205" s="25" t="s">
        <v>52</v>
      </c>
      <c r="E205" s="25" t="s">
        <v>53</v>
      </c>
      <c r="F205" s="25" t="s">
        <v>75</v>
      </c>
      <c r="G205" s="25">
        <v>1.0</v>
      </c>
      <c r="H205" s="28">
        <v>724.0</v>
      </c>
      <c r="I205" s="28">
        <v>724.0</v>
      </c>
      <c r="J205" s="25">
        <v>0.0</v>
      </c>
      <c r="K205" s="28">
        <v>0.0</v>
      </c>
      <c r="L205" s="28">
        <v>724.0</v>
      </c>
      <c r="M205" s="25" t="s">
        <v>106</v>
      </c>
      <c r="N205" s="25" t="s">
        <v>62</v>
      </c>
      <c r="O205" s="25" t="s">
        <v>69</v>
      </c>
      <c r="P205" s="15">
        <f t="shared" si="1"/>
        <v>7</v>
      </c>
    </row>
    <row r="206">
      <c r="A206" s="29">
        <v>20249.0</v>
      </c>
      <c r="B206" s="26">
        <v>45842.0</v>
      </c>
      <c r="C206" s="29" t="s">
        <v>66</v>
      </c>
      <c r="D206" s="29" t="s">
        <v>46</v>
      </c>
      <c r="E206" s="29" t="s">
        <v>26</v>
      </c>
      <c r="F206" s="29" t="s">
        <v>74</v>
      </c>
      <c r="G206" s="29">
        <v>11.0</v>
      </c>
      <c r="H206" s="30">
        <v>289.0</v>
      </c>
      <c r="I206" s="30">
        <v>3179.0</v>
      </c>
      <c r="J206" s="29">
        <v>15.0</v>
      </c>
      <c r="K206" s="30">
        <v>477.0</v>
      </c>
      <c r="L206" s="30">
        <v>2702.0</v>
      </c>
      <c r="M206" s="29" t="s">
        <v>106</v>
      </c>
      <c r="N206" s="29" t="s">
        <v>43</v>
      </c>
      <c r="O206" s="29" t="s">
        <v>57</v>
      </c>
      <c r="P206" s="15">
        <f t="shared" si="1"/>
        <v>7</v>
      </c>
    </row>
    <row r="207">
      <c r="A207" s="34">
        <v>20297.0</v>
      </c>
      <c r="B207" s="26">
        <v>45842.0</v>
      </c>
      <c r="C207" s="34" t="s">
        <v>97</v>
      </c>
      <c r="D207" s="34" t="s">
        <v>25</v>
      </c>
      <c r="E207" s="34" t="s">
        <v>59</v>
      </c>
      <c r="F207" s="34" t="s">
        <v>79</v>
      </c>
      <c r="G207" s="34">
        <v>5.0</v>
      </c>
      <c r="H207" s="35">
        <v>73.0</v>
      </c>
      <c r="I207" s="35">
        <v>365.0</v>
      </c>
      <c r="J207" s="34">
        <v>0.0</v>
      </c>
      <c r="K207" s="35">
        <v>0.0</v>
      </c>
      <c r="L207" s="35">
        <v>365.0</v>
      </c>
      <c r="M207" s="34" t="s">
        <v>96</v>
      </c>
      <c r="N207" s="34" t="s">
        <v>62</v>
      </c>
      <c r="O207" s="34" t="s">
        <v>44</v>
      </c>
      <c r="P207" s="15">
        <f t="shared" si="1"/>
        <v>7</v>
      </c>
    </row>
    <row r="208">
      <c r="A208" s="20">
        <v>20374.0</v>
      </c>
      <c r="B208" s="26">
        <v>45842.0</v>
      </c>
      <c r="C208" s="20" t="s">
        <v>76</v>
      </c>
      <c r="D208" s="20" t="s">
        <v>64</v>
      </c>
      <c r="E208" s="20" t="s">
        <v>53</v>
      </c>
      <c r="F208" s="20" t="s">
        <v>48</v>
      </c>
      <c r="G208" s="20">
        <v>8.0</v>
      </c>
      <c r="H208" s="24">
        <v>1885.0</v>
      </c>
      <c r="I208" s="24">
        <v>15080.0</v>
      </c>
      <c r="J208" s="20">
        <v>10.0</v>
      </c>
      <c r="K208" s="24">
        <v>1508.0</v>
      </c>
      <c r="L208" s="24">
        <v>13572.0</v>
      </c>
      <c r="M208" s="20" t="s">
        <v>71</v>
      </c>
      <c r="N208" s="20" t="s">
        <v>50</v>
      </c>
      <c r="O208" s="20" t="s">
        <v>57</v>
      </c>
      <c r="P208" s="15">
        <f t="shared" si="1"/>
        <v>7</v>
      </c>
    </row>
    <row r="209">
      <c r="A209" s="25">
        <v>20380.0</v>
      </c>
      <c r="B209" s="26">
        <v>45842.0</v>
      </c>
      <c r="C209" s="25" t="s">
        <v>51</v>
      </c>
      <c r="D209" s="25" t="s">
        <v>52</v>
      </c>
      <c r="E209" s="25" t="s">
        <v>59</v>
      </c>
      <c r="F209" s="25" t="s">
        <v>86</v>
      </c>
      <c r="G209" s="25">
        <v>15.0</v>
      </c>
      <c r="H209" s="28">
        <v>225.0</v>
      </c>
      <c r="I209" s="28">
        <v>3375.0</v>
      </c>
      <c r="J209" s="25">
        <v>15.0</v>
      </c>
      <c r="K209" s="28">
        <v>506.0</v>
      </c>
      <c r="L209" s="28">
        <v>2869.0</v>
      </c>
      <c r="M209" s="25" t="s">
        <v>87</v>
      </c>
      <c r="N209" s="25" t="s">
        <v>72</v>
      </c>
      <c r="O209" s="25" t="s">
        <v>57</v>
      </c>
      <c r="P209" s="15">
        <f t="shared" si="1"/>
        <v>7</v>
      </c>
    </row>
    <row r="210">
      <c r="A210" s="20">
        <v>20092.0</v>
      </c>
      <c r="B210" s="26">
        <v>45844.0</v>
      </c>
      <c r="C210" s="20" t="s">
        <v>76</v>
      </c>
      <c r="D210" s="20" t="s">
        <v>64</v>
      </c>
      <c r="E210" s="20" t="s">
        <v>26</v>
      </c>
      <c r="F210" s="20" t="s">
        <v>74</v>
      </c>
      <c r="G210" s="20">
        <v>6.0</v>
      </c>
      <c r="H210" s="24">
        <v>545.0</v>
      </c>
      <c r="I210" s="24">
        <v>3270.0</v>
      </c>
      <c r="J210" s="20">
        <v>0.0</v>
      </c>
      <c r="K210" s="24">
        <v>0.0</v>
      </c>
      <c r="L210" s="24">
        <v>3270.0</v>
      </c>
      <c r="M210" s="20" t="s">
        <v>87</v>
      </c>
      <c r="N210" s="20" t="s">
        <v>56</v>
      </c>
      <c r="O210" s="20" t="s">
        <v>44</v>
      </c>
      <c r="P210" s="15">
        <f t="shared" si="1"/>
        <v>7</v>
      </c>
    </row>
    <row r="211">
      <c r="A211" s="34">
        <v>20131.0</v>
      </c>
      <c r="B211" s="26">
        <v>45844.0</v>
      </c>
      <c r="C211" s="34" t="s">
        <v>63</v>
      </c>
      <c r="D211" s="34" t="s">
        <v>64</v>
      </c>
      <c r="E211" s="34" t="s">
        <v>59</v>
      </c>
      <c r="F211" s="34" t="s">
        <v>83</v>
      </c>
      <c r="G211" s="34">
        <v>5.0</v>
      </c>
      <c r="H211" s="35">
        <v>182.0</v>
      </c>
      <c r="I211" s="35">
        <v>910.0</v>
      </c>
      <c r="J211" s="34">
        <v>20.0</v>
      </c>
      <c r="K211" s="35">
        <v>182.0</v>
      </c>
      <c r="L211" s="35">
        <v>728.0</v>
      </c>
      <c r="M211" s="34" t="s">
        <v>42</v>
      </c>
      <c r="N211" s="34" t="s">
        <v>50</v>
      </c>
      <c r="O211" s="34" t="s">
        <v>44</v>
      </c>
      <c r="P211" s="15">
        <f t="shared" si="1"/>
        <v>7</v>
      </c>
    </row>
    <row r="212">
      <c r="A212" s="20">
        <v>20094.0</v>
      </c>
      <c r="B212" s="26">
        <v>45845.0</v>
      </c>
      <c r="C212" s="20" t="s">
        <v>92</v>
      </c>
      <c r="D212" s="20" t="s">
        <v>25</v>
      </c>
      <c r="E212" s="20" t="s">
        <v>59</v>
      </c>
      <c r="F212" s="20" t="s">
        <v>79</v>
      </c>
      <c r="G212" s="20">
        <v>5.0</v>
      </c>
      <c r="H212" s="24">
        <v>404.0</v>
      </c>
      <c r="I212" s="24">
        <v>2020.0</v>
      </c>
      <c r="J212" s="20">
        <v>10.0</v>
      </c>
      <c r="K212" s="24">
        <v>202.0</v>
      </c>
      <c r="L212" s="24">
        <v>1818.0</v>
      </c>
      <c r="M212" s="20" t="s">
        <v>61</v>
      </c>
      <c r="N212" s="20" t="s">
        <v>72</v>
      </c>
      <c r="O212" s="20" t="s">
        <v>69</v>
      </c>
      <c r="P212" s="15">
        <f t="shared" si="1"/>
        <v>7</v>
      </c>
    </row>
    <row r="213">
      <c r="A213" s="34">
        <v>20233.0</v>
      </c>
      <c r="B213" s="26">
        <v>45845.0</v>
      </c>
      <c r="C213" s="34" t="s">
        <v>84</v>
      </c>
      <c r="D213" s="34" t="s">
        <v>46</v>
      </c>
      <c r="E213" s="34" t="s">
        <v>77</v>
      </c>
      <c r="F213" s="34" t="s">
        <v>110</v>
      </c>
      <c r="G213" s="34">
        <v>2.0</v>
      </c>
      <c r="H213" s="35">
        <v>6394.0</v>
      </c>
      <c r="I213" s="35">
        <v>12788.0</v>
      </c>
      <c r="J213" s="34">
        <v>10.0</v>
      </c>
      <c r="K213" s="35">
        <v>1279.0</v>
      </c>
      <c r="L213" s="35">
        <v>11509.0</v>
      </c>
      <c r="M213" s="34" t="s">
        <v>61</v>
      </c>
      <c r="N213" s="34" t="s">
        <v>56</v>
      </c>
      <c r="O213" s="34" t="s">
        <v>44</v>
      </c>
      <c r="P213" s="15">
        <f t="shared" si="1"/>
        <v>7</v>
      </c>
    </row>
    <row r="214">
      <c r="A214" s="29">
        <v>20411.0</v>
      </c>
      <c r="B214" s="26">
        <v>45845.0</v>
      </c>
      <c r="C214" s="29" t="s">
        <v>80</v>
      </c>
      <c r="D214" s="29" t="s">
        <v>64</v>
      </c>
      <c r="E214" s="29" t="s">
        <v>59</v>
      </c>
      <c r="F214" s="29" t="s">
        <v>86</v>
      </c>
      <c r="G214" s="29">
        <v>4.0</v>
      </c>
      <c r="H214" s="30">
        <v>250.0</v>
      </c>
      <c r="I214" s="30">
        <v>1000.0</v>
      </c>
      <c r="J214" s="29">
        <v>20.0</v>
      </c>
      <c r="K214" s="30">
        <v>200.0</v>
      </c>
      <c r="L214" s="30">
        <v>800.0</v>
      </c>
      <c r="M214" s="29" t="s">
        <v>61</v>
      </c>
      <c r="N214" s="29" t="s">
        <v>72</v>
      </c>
      <c r="O214" s="29" t="s">
        <v>44</v>
      </c>
      <c r="P214" s="15">
        <f t="shared" si="1"/>
        <v>7</v>
      </c>
    </row>
    <row r="215">
      <c r="A215" s="25">
        <v>20110.0</v>
      </c>
      <c r="B215" s="26">
        <v>45846.0</v>
      </c>
      <c r="C215" s="25" t="s">
        <v>58</v>
      </c>
      <c r="D215" s="25" t="s">
        <v>25</v>
      </c>
      <c r="E215" s="25" t="s">
        <v>53</v>
      </c>
      <c r="F215" s="25" t="s">
        <v>54</v>
      </c>
      <c r="G215" s="25">
        <v>4.0</v>
      </c>
      <c r="H215" s="28">
        <v>1447.0</v>
      </c>
      <c r="I215" s="28">
        <v>5788.0</v>
      </c>
      <c r="J215" s="25">
        <v>0.0</v>
      </c>
      <c r="K215" s="28">
        <v>0.0</v>
      </c>
      <c r="L215" s="28">
        <v>5788.0</v>
      </c>
      <c r="M215" s="25" t="s">
        <v>49</v>
      </c>
      <c r="N215" s="25" t="s">
        <v>72</v>
      </c>
      <c r="O215" s="25" t="s">
        <v>69</v>
      </c>
      <c r="P215" s="15">
        <f t="shared" si="1"/>
        <v>7</v>
      </c>
    </row>
    <row r="216">
      <c r="A216" s="29">
        <v>20153.0</v>
      </c>
      <c r="B216" s="26">
        <v>45846.0</v>
      </c>
      <c r="C216" s="29" t="s">
        <v>73</v>
      </c>
      <c r="D216" s="29" t="s">
        <v>52</v>
      </c>
      <c r="E216" s="29" t="s">
        <v>47</v>
      </c>
      <c r="F216" s="29" t="s">
        <v>65</v>
      </c>
      <c r="G216" s="29">
        <v>10.0</v>
      </c>
      <c r="H216" s="30">
        <v>2159.0</v>
      </c>
      <c r="I216" s="30">
        <v>21590.0</v>
      </c>
      <c r="J216" s="29">
        <v>10.0</v>
      </c>
      <c r="K216" s="30">
        <v>2159.0</v>
      </c>
      <c r="L216" s="30">
        <v>19431.0</v>
      </c>
      <c r="M216" s="29" t="s">
        <v>61</v>
      </c>
      <c r="N216" s="29" t="s">
        <v>43</v>
      </c>
      <c r="O216" s="29" t="s">
        <v>57</v>
      </c>
      <c r="P216" s="15">
        <f t="shared" si="1"/>
        <v>7</v>
      </c>
    </row>
    <row r="217">
      <c r="A217" s="25">
        <v>20252.0</v>
      </c>
      <c r="B217" s="26">
        <v>45846.0</v>
      </c>
      <c r="C217" s="25" t="s">
        <v>89</v>
      </c>
      <c r="D217" s="25" t="s">
        <v>46</v>
      </c>
      <c r="E217" s="25" t="s">
        <v>77</v>
      </c>
      <c r="F217" s="25" t="s">
        <v>110</v>
      </c>
      <c r="G217" s="25">
        <v>13.0</v>
      </c>
      <c r="H217" s="28">
        <v>6155.0</v>
      </c>
      <c r="I217" s="28">
        <v>80015.0</v>
      </c>
      <c r="J217" s="25">
        <v>10.0</v>
      </c>
      <c r="K217" s="28">
        <v>8002.0</v>
      </c>
      <c r="L217" s="28">
        <v>72013.0</v>
      </c>
      <c r="M217" s="25" t="s">
        <v>49</v>
      </c>
      <c r="N217" s="25" t="s">
        <v>62</v>
      </c>
      <c r="O217" s="25" t="s">
        <v>57</v>
      </c>
      <c r="P217" s="15">
        <f t="shared" si="1"/>
        <v>7</v>
      </c>
    </row>
    <row r="218">
      <c r="A218" s="29">
        <v>20097.0</v>
      </c>
      <c r="B218" s="26">
        <v>45847.0</v>
      </c>
      <c r="C218" s="29" t="s">
        <v>24</v>
      </c>
      <c r="D218" s="29" t="s">
        <v>52</v>
      </c>
      <c r="E218" s="29" t="s">
        <v>47</v>
      </c>
      <c r="F218" s="29" t="s">
        <v>65</v>
      </c>
      <c r="G218" s="29">
        <v>15.0</v>
      </c>
      <c r="H218" s="30">
        <v>1870.0</v>
      </c>
      <c r="I218" s="30">
        <v>28050.0</v>
      </c>
      <c r="J218" s="29">
        <v>0.0</v>
      </c>
      <c r="K218" s="30">
        <v>0.0</v>
      </c>
      <c r="L218" s="30">
        <v>28050.0</v>
      </c>
      <c r="M218" s="29" t="s">
        <v>81</v>
      </c>
      <c r="N218" s="29" t="s">
        <v>72</v>
      </c>
      <c r="O218" s="29" t="s">
        <v>69</v>
      </c>
      <c r="P218" s="15">
        <f t="shared" si="1"/>
        <v>7</v>
      </c>
    </row>
    <row r="219">
      <c r="A219" s="25">
        <v>20202.0</v>
      </c>
      <c r="B219" s="26">
        <v>45847.0</v>
      </c>
      <c r="C219" s="25" t="s">
        <v>84</v>
      </c>
      <c r="D219" s="25" t="s">
        <v>46</v>
      </c>
      <c r="E219" s="25" t="s">
        <v>59</v>
      </c>
      <c r="F219" s="25" t="s">
        <v>79</v>
      </c>
      <c r="G219" s="25">
        <v>10.0</v>
      </c>
      <c r="H219" s="28">
        <v>68.0</v>
      </c>
      <c r="I219" s="28">
        <v>680.0</v>
      </c>
      <c r="J219" s="25">
        <v>10.0</v>
      </c>
      <c r="K219" s="28">
        <v>68.0</v>
      </c>
      <c r="L219" s="28">
        <v>612.0</v>
      </c>
      <c r="M219" s="25" t="s">
        <v>49</v>
      </c>
      <c r="N219" s="25" t="s">
        <v>56</v>
      </c>
      <c r="O219" s="25" t="s">
        <v>57</v>
      </c>
      <c r="P219" s="15">
        <f t="shared" si="1"/>
        <v>7</v>
      </c>
    </row>
    <row r="220">
      <c r="A220" s="20">
        <v>20126.0</v>
      </c>
      <c r="B220" s="26">
        <v>45848.0</v>
      </c>
      <c r="C220" s="20" t="s">
        <v>89</v>
      </c>
      <c r="D220" s="20" t="s">
        <v>46</v>
      </c>
      <c r="E220" s="20" t="s">
        <v>59</v>
      </c>
      <c r="F220" s="20" t="s">
        <v>86</v>
      </c>
      <c r="G220" s="20">
        <v>13.0</v>
      </c>
      <c r="H220" s="24">
        <v>86.0</v>
      </c>
      <c r="I220" s="24">
        <v>1118.0</v>
      </c>
      <c r="J220" s="20">
        <v>0.0</v>
      </c>
      <c r="K220" s="24">
        <v>0.0</v>
      </c>
      <c r="L220" s="24">
        <v>1118.0</v>
      </c>
      <c r="M220" s="20" t="s">
        <v>55</v>
      </c>
      <c r="N220" s="20" t="s">
        <v>62</v>
      </c>
      <c r="O220" s="20" t="s">
        <v>57</v>
      </c>
      <c r="P220" s="15">
        <f t="shared" si="1"/>
        <v>7</v>
      </c>
    </row>
    <row r="221">
      <c r="A221" s="34">
        <v>20271.0</v>
      </c>
      <c r="B221" s="26">
        <v>45848.0</v>
      </c>
      <c r="C221" s="34" t="s">
        <v>73</v>
      </c>
      <c r="D221" s="34" t="s">
        <v>52</v>
      </c>
      <c r="E221" s="34" t="s">
        <v>26</v>
      </c>
      <c r="F221" s="34" t="s">
        <v>70</v>
      </c>
      <c r="G221" s="34">
        <v>2.0</v>
      </c>
      <c r="H221" s="35">
        <v>637.0</v>
      </c>
      <c r="I221" s="35">
        <v>1274.0</v>
      </c>
      <c r="J221" s="34">
        <v>10.0</v>
      </c>
      <c r="K221" s="35">
        <v>127.0</v>
      </c>
      <c r="L221" s="35">
        <v>1147.0</v>
      </c>
      <c r="M221" s="34" t="s">
        <v>49</v>
      </c>
      <c r="N221" s="34" t="s">
        <v>62</v>
      </c>
      <c r="O221" s="34" t="s">
        <v>44</v>
      </c>
      <c r="P221" s="15">
        <f t="shared" si="1"/>
        <v>7</v>
      </c>
    </row>
    <row r="222">
      <c r="A222" s="29">
        <v>20135.0</v>
      </c>
      <c r="B222" s="26">
        <v>45849.0</v>
      </c>
      <c r="C222" s="29" t="s">
        <v>63</v>
      </c>
      <c r="D222" s="29" t="s">
        <v>64</v>
      </c>
      <c r="E222" s="29" t="s">
        <v>59</v>
      </c>
      <c r="F222" s="29" t="s">
        <v>79</v>
      </c>
      <c r="G222" s="29">
        <v>6.0</v>
      </c>
      <c r="H222" s="30">
        <v>110.0</v>
      </c>
      <c r="I222" s="30">
        <v>660.0</v>
      </c>
      <c r="J222" s="29">
        <v>20.0</v>
      </c>
      <c r="K222" s="30">
        <v>132.0</v>
      </c>
      <c r="L222" s="30">
        <v>528.0</v>
      </c>
      <c r="M222" s="29" t="s">
        <v>68</v>
      </c>
      <c r="N222" s="29" t="s">
        <v>50</v>
      </c>
      <c r="O222" s="29" t="s">
        <v>69</v>
      </c>
      <c r="P222" s="15">
        <f t="shared" si="1"/>
        <v>7</v>
      </c>
    </row>
    <row r="223">
      <c r="A223" s="34">
        <v>20199.0</v>
      </c>
      <c r="B223" s="26">
        <v>45851.0</v>
      </c>
      <c r="C223" s="34" t="s">
        <v>93</v>
      </c>
      <c r="D223" s="34" t="s">
        <v>25</v>
      </c>
      <c r="E223" s="34" t="s">
        <v>26</v>
      </c>
      <c r="F223" s="34" t="s">
        <v>100</v>
      </c>
      <c r="G223" s="34">
        <v>13.0</v>
      </c>
      <c r="H223" s="35">
        <v>342.0</v>
      </c>
      <c r="I223" s="35">
        <v>4446.0</v>
      </c>
      <c r="J223" s="34">
        <v>0.0</v>
      </c>
      <c r="K223" s="35">
        <v>0.0</v>
      </c>
      <c r="L223" s="35">
        <v>4446.0</v>
      </c>
      <c r="M223" s="34" t="s">
        <v>106</v>
      </c>
      <c r="N223" s="34" t="s">
        <v>50</v>
      </c>
      <c r="O223" s="34" t="s">
        <v>57</v>
      </c>
      <c r="P223" s="15">
        <f t="shared" si="1"/>
        <v>7</v>
      </c>
    </row>
    <row r="224">
      <c r="A224" s="20">
        <v>20388.0</v>
      </c>
      <c r="B224" s="26">
        <v>45851.0</v>
      </c>
      <c r="C224" s="20" t="s">
        <v>51</v>
      </c>
      <c r="D224" s="20" t="s">
        <v>52</v>
      </c>
      <c r="E224" s="20" t="s">
        <v>77</v>
      </c>
      <c r="F224" s="20" t="s">
        <v>90</v>
      </c>
      <c r="G224" s="20">
        <v>1.0</v>
      </c>
      <c r="H224" s="24">
        <v>5182.0</v>
      </c>
      <c r="I224" s="24">
        <v>5182.0</v>
      </c>
      <c r="J224" s="20">
        <v>20.0</v>
      </c>
      <c r="K224" s="24">
        <v>1036.0</v>
      </c>
      <c r="L224" s="24">
        <v>4146.0</v>
      </c>
      <c r="M224" s="20" t="s">
        <v>68</v>
      </c>
      <c r="N224" s="20" t="s">
        <v>56</v>
      </c>
      <c r="O224" s="20" t="s">
        <v>69</v>
      </c>
      <c r="P224" s="15">
        <f t="shared" si="1"/>
        <v>7</v>
      </c>
    </row>
    <row r="225">
      <c r="A225" s="25">
        <v>20004.0</v>
      </c>
      <c r="B225" s="26">
        <v>45852.0</v>
      </c>
      <c r="C225" s="25" t="s">
        <v>58</v>
      </c>
      <c r="D225" s="25" t="s">
        <v>25</v>
      </c>
      <c r="E225" s="27" t="s">
        <v>47</v>
      </c>
      <c r="F225" s="25" t="s">
        <v>95</v>
      </c>
      <c r="G225" s="25">
        <v>10.0</v>
      </c>
      <c r="H225" s="28">
        <v>387.0</v>
      </c>
      <c r="I225" s="28">
        <v>3870.0</v>
      </c>
      <c r="J225" s="25">
        <v>10.0</v>
      </c>
      <c r="K225" s="28">
        <v>387.0</v>
      </c>
      <c r="L225" s="28">
        <v>3483.0</v>
      </c>
      <c r="M225" s="25" t="s">
        <v>71</v>
      </c>
      <c r="N225" s="25" t="s">
        <v>43</v>
      </c>
      <c r="O225" s="25" t="s">
        <v>69</v>
      </c>
      <c r="P225" s="15">
        <f t="shared" si="1"/>
        <v>7</v>
      </c>
    </row>
    <row r="226">
      <c r="A226" s="29">
        <v>20279.0</v>
      </c>
      <c r="B226" s="26">
        <v>45853.0</v>
      </c>
      <c r="C226" s="29" t="s">
        <v>24</v>
      </c>
      <c r="D226" s="29" t="s">
        <v>52</v>
      </c>
      <c r="E226" s="29" t="s">
        <v>77</v>
      </c>
      <c r="F226" s="29" t="s">
        <v>101</v>
      </c>
      <c r="G226" s="29">
        <v>4.0</v>
      </c>
      <c r="H226" s="30">
        <v>3152.0</v>
      </c>
      <c r="I226" s="30">
        <v>12608.0</v>
      </c>
      <c r="J226" s="29">
        <v>0.0</v>
      </c>
      <c r="K226" s="30">
        <v>0.0</v>
      </c>
      <c r="L226" s="30">
        <v>12608.0</v>
      </c>
      <c r="M226" s="29" t="s">
        <v>49</v>
      </c>
      <c r="N226" s="29" t="s">
        <v>56</v>
      </c>
      <c r="O226" s="29" t="s">
        <v>57</v>
      </c>
      <c r="P226" s="15">
        <f t="shared" si="1"/>
        <v>7</v>
      </c>
    </row>
    <row r="227">
      <c r="A227" s="34">
        <v>20213.0</v>
      </c>
      <c r="B227" s="26">
        <v>45854.0</v>
      </c>
      <c r="C227" s="34" t="s">
        <v>76</v>
      </c>
      <c r="D227" s="34" t="s">
        <v>64</v>
      </c>
      <c r="E227" s="34" t="s">
        <v>26</v>
      </c>
      <c r="F227" s="34" t="s">
        <v>70</v>
      </c>
      <c r="G227" s="34">
        <v>12.0</v>
      </c>
      <c r="H227" s="35">
        <v>474.0</v>
      </c>
      <c r="I227" s="35">
        <v>5688.0</v>
      </c>
      <c r="J227" s="34">
        <v>20.0</v>
      </c>
      <c r="K227" s="35">
        <v>1138.0</v>
      </c>
      <c r="L227" s="35">
        <v>4550.0</v>
      </c>
      <c r="M227" s="34" t="s">
        <v>71</v>
      </c>
      <c r="N227" s="34" t="s">
        <v>72</v>
      </c>
      <c r="O227" s="34" t="s">
        <v>57</v>
      </c>
      <c r="P227" s="15">
        <f t="shared" si="1"/>
        <v>7</v>
      </c>
    </row>
    <row r="228">
      <c r="A228" s="29">
        <v>20397.0</v>
      </c>
      <c r="B228" s="26">
        <v>45854.0</v>
      </c>
      <c r="C228" s="29" t="s">
        <v>51</v>
      </c>
      <c r="D228" s="29" t="s">
        <v>52</v>
      </c>
      <c r="E228" s="29" t="s">
        <v>47</v>
      </c>
      <c r="F228" s="29" t="s">
        <v>103</v>
      </c>
      <c r="G228" s="29">
        <v>5.0</v>
      </c>
      <c r="H228" s="30">
        <v>2223.0</v>
      </c>
      <c r="I228" s="30">
        <v>11115.0</v>
      </c>
      <c r="J228" s="29">
        <v>5.0</v>
      </c>
      <c r="K228" s="30">
        <v>556.0</v>
      </c>
      <c r="L228" s="30">
        <v>10559.0</v>
      </c>
      <c r="M228" s="29" t="s">
        <v>81</v>
      </c>
      <c r="N228" s="29" t="s">
        <v>50</v>
      </c>
      <c r="O228" s="29" t="s">
        <v>57</v>
      </c>
      <c r="P228" s="15">
        <f t="shared" si="1"/>
        <v>7</v>
      </c>
    </row>
    <row r="229">
      <c r="A229" s="25">
        <v>20150.0</v>
      </c>
      <c r="B229" s="26">
        <v>45856.0</v>
      </c>
      <c r="C229" s="25" t="s">
        <v>58</v>
      </c>
      <c r="D229" s="25" t="s">
        <v>25</v>
      </c>
      <c r="E229" s="25" t="s">
        <v>53</v>
      </c>
      <c r="F229" s="25" t="s">
        <v>95</v>
      </c>
      <c r="G229" s="25">
        <v>12.0</v>
      </c>
      <c r="H229" s="28">
        <v>1552.0</v>
      </c>
      <c r="I229" s="28">
        <v>18624.0</v>
      </c>
      <c r="J229" s="25">
        <v>0.0</v>
      </c>
      <c r="K229" s="28">
        <v>0.0</v>
      </c>
      <c r="L229" s="28">
        <v>18624.0</v>
      </c>
      <c r="M229" s="25" t="s">
        <v>71</v>
      </c>
      <c r="N229" s="25" t="s">
        <v>50</v>
      </c>
      <c r="O229" s="25" t="s">
        <v>69</v>
      </c>
      <c r="P229" s="15">
        <f t="shared" si="1"/>
        <v>7</v>
      </c>
    </row>
    <row r="230">
      <c r="A230" s="20">
        <v>20022.0</v>
      </c>
      <c r="B230" s="26">
        <v>45857.0</v>
      </c>
      <c r="C230" s="20" t="s">
        <v>66</v>
      </c>
      <c r="D230" s="20" t="s">
        <v>46</v>
      </c>
      <c r="E230" s="20" t="s">
        <v>59</v>
      </c>
      <c r="F230" s="20" t="s">
        <v>85</v>
      </c>
      <c r="G230" s="20">
        <v>7.0</v>
      </c>
      <c r="H230" s="24">
        <v>211.0</v>
      </c>
      <c r="I230" s="24">
        <v>1477.0</v>
      </c>
      <c r="J230" s="20">
        <v>0.0</v>
      </c>
      <c r="K230" s="24">
        <v>0.0</v>
      </c>
      <c r="L230" s="24">
        <v>1477.0</v>
      </c>
      <c r="M230" s="20" t="s">
        <v>49</v>
      </c>
      <c r="N230" s="20" t="s">
        <v>56</v>
      </c>
      <c r="O230" s="20" t="s">
        <v>69</v>
      </c>
      <c r="P230" s="15">
        <f t="shared" si="1"/>
        <v>7</v>
      </c>
    </row>
    <row r="231">
      <c r="A231" s="25">
        <v>20216.0</v>
      </c>
      <c r="B231" s="26">
        <v>45857.0</v>
      </c>
      <c r="C231" s="25" t="s">
        <v>84</v>
      </c>
      <c r="D231" s="25" t="s">
        <v>46</v>
      </c>
      <c r="E231" s="25" t="s">
        <v>53</v>
      </c>
      <c r="F231" s="25" t="s">
        <v>102</v>
      </c>
      <c r="G231" s="25">
        <v>2.0</v>
      </c>
      <c r="H231" s="28">
        <v>1209.0</v>
      </c>
      <c r="I231" s="28">
        <v>2418.0</v>
      </c>
      <c r="J231" s="25">
        <v>0.0</v>
      </c>
      <c r="K231" s="28">
        <v>0.0</v>
      </c>
      <c r="L231" s="28">
        <v>2418.0</v>
      </c>
      <c r="M231" s="25" t="s">
        <v>68</v>
      </c>
      <c r="N231" s="25" t="s">
        <v>62</v>
      </c>
      <c r="O231" s="25" t="s">
        <v>69</v>
      </c>
      <c r="P231" s="15">
        <f t="shared" si="1"/>
        <v>7</v>
      </c>
    </row>
    <row r="232">
      <c r="A232" s="29">
        <v>20163.0</v>
      </c>
      <c r="B232" s="26">
        <v>45859.0</v>
      </c>
      <c r="C232" s="29" t="s">
        <v>73</v>
      </c>
      <c r="D232" s="29" t="s">
        <v>52</v>
      </c>
      <c r="E232" s="29" t="s">
        <v>77</v>
      </c>
      <c r="F232" s="29" t="s">
        <v>78</v>
      </c>
      <c r="G232" s="29">
        <v>10.0</v>
      </c>
      <c r="H232" s="30">
        <v>1298.0</v>
      </c>
      <c r="I232" s="30">
        <v>12980.0</v>
      </c>
      <c r="J232" s="29">
        <v>10.0</v>
      </c>
      <c r="K232" s="30">
        <v>1298.0</v>
      </c>
      <c r="L232" s="30">
        <v>11682.0</v>
      </c>
      <c r="M232" s="29" t="s">
        <v>42</v>
      </c>
      <c r="N232" s="29" t="s">
        <v>72</v>
      </c>
      <c r="O232" s="29" t="s">
        <v>57</v>
      </c>
      <c r="P232" s="15">
        <f t="shared" si="1"/>
        <v>7</v>
      </c>
    </row>
    <row r="233">
      <c r="A233" s="34">
        <v>20409.0</v>
      </c>
      <c r="B233" s="26">
        <v>45859.0</v>
      </c>
      <c r="C233" s="34" t="s">
        <v>80</v>
      </c>
      <c r="D233" s="34" t="s">
        <v>64</v>
      </c>
      <c r="E233" s="34" t="s">
        <v>59</v>
      </c>
      <c r="F233" s="34" t="s">
        <v>79</v>
      </c>
      <c r="G233" s="34">
        <v>12.0</v>
      </c>
      <c r="H233" s="35">
        <v>412.0</v>
      </c>
      <c r="I233" s="35">
        <v>4944.0</v>
      </c>
      <c r="J233" s="34">
        <v>0.0</v>
      </c>
      <c r="K233" s="35">
        <v>0.0</v>
      </c>
      <c r="L233" s="35">
        <v>4944.0</v>
      </c>
      <c r="M233" s="34" t="s">
        <v>106</v>
      </c>
      <c r="N233" s="34" t="s">
        <v>43</v>
      </c>
      <c r="O233" s="34" t="s">
        <v>57</v>
      </c>
      <c r="P233" s="15">
        <f t="shared" si="1"/>
        <v>7</v>
      </c>
    </row>
    <row r="234">
      <c r="A234" s="20">
        <v>20090.0</v>
      </c>
      <c r="B234" s="26">
        <v>45860.0</v>
      </c>
      <c r="C234" s="20" t="s">
        <v>66</v>
      </c>
      <c r="D234" s="20" t="s">
        <v>46</v>
      </c>
      <c r="E234" s="20" t="s">
        <v>26</v>
      </c>
      <c r="F234" s="20" t="s">
        <v>70</v>
      </c>
      <c r="G234" s="20">
        <v>14.0</v>
      </c>
      <c r="H234" s="24">
        <v>170.0</v>
      </c>
      <c r="I234" s="24">
        <v>2380.0</v>
      </c>
      <c r="J234" s="20">
        <v>20.0</v>
      </c>
      <c r="K234" s="24">
        <v>476.0</v>
      </c>
      <c r="L234" s="24">
        <v>1904.0</v>
      </c>
      <c r="M234" s="20" t="s">
        <v>96</v>
      </c>
      <c r="N234" s="20" t="s">
        <v>50</v>
      </c>
      <c r="O234" s="20" t="s">
        <v>57</v>
      </c>
      <c r="P234" s="15">
        <f t="shared" si="1"/>
        <v>7</v>
      </c>
    </row>
    <row r="235">
      <c r="A235" s="34">
        <v>20115.0</v>
      </c>
      <c r="B235" s="26">
        <v>45860.0</v>
      </c>
      <c r="C235" s="34" t="s">
        <v>93</v>
      </c>
      <c r="D235" s="34" t="s">
        <v>25</v>
      </c>
      <c r="E235" s="34" t="s">
        <v>26</v>
      </c>
      <c r="F235" s="34" t="s">
        <v>100</v>
      </c>
      <c r="G235" s="34">
        <v>5.0</v>
      </c>
      <c r="H235" s="35">
        <v>336.0</v>
      </c>
      <c r="I235" s="35">
        <v>1680.0</v>
      </c>
      <c r="J235" s="34">
        <v>0.0</v>
      </c>
      <c r="K235" s="35">
        <v>0.0</v>
      </c>
      <c r="L235" s="35">
        <v>1680.0</v>
      </c>
      <c r="M235" s="34" t="s">
        <v>71</v>
      </c>
      <c r="N235" s="34" t="s">
        <v>62</v>
      </c>
      <c r="O235" s="34" t="s">
        <v>44</v>
      </c>
      <c r="P235" s="15">
        <f t="shared" si="1"/>
        <v>7</v>
      </c>
    </row>
    <row r="236">
      <c r="A236" s="20">
        <v>20420.0</v>
      </c>
      <c r="B236" s="26">
        <v>45861.0</v>
      </c>
      <c r="C236" s="22" t="s">
        <v>76</v>
      </c>
      <c r="D236" s="20" t="s">
        <v>25</v>
      </c>
      <c r="E236" s="20" t="s">
        <v>26</v>
      </c>
      <c r="F236" s="20" t="s">
        <v>104</v>
      </c>
      <c r="G236" s="20">
        <v>15.0</v>
      </c>
      <c r="H236" s="24">
        <v>604.0</v>
      </c>
      <c r="I236" s="24">
        <v>9060.0</v>
      </c>
      <c r="J236" s="20">
        <v>10.0</v>
      </c>
      <c r="K236" s="24">
        <v>906.0</v>
      </c>
      <c r="L236" s="24">
        <v>8154.0</v>
      </c>
      <c r="M236" s="20" t="s">
        <v>71</v>
      </c>
      <c r="N236" s="20" t="s">
        <v>62</v>
      </c>
      <c r="O236" s="20" t="s">
        <v>44</v>
      </c>
      <c r="P236" s="15">
        <f t="shared" si="1"/>
        <v>7</v>
      </c>
    </row>
    <row r="237">
      <c r="A237" s="25">
        <v>20104.0</v>
      </c>
      <c r="B237" s="26">
        <v>45863.0</v>
      </c>
      <c r="C237" s="25" t="s">
        <v>24</v>
      </c>
      <c r="D237" s="25" t="s">
        <v>52</v>
      </c>
      <c r="E237" s="25" t="s">
        <v>26</v>
      </c>
      <c r="F237" s="25" t="s">
        <v>111</v>
      </c>
      <c r="G237" s="25">
        <v>12.0</v>
      </c>
      <c r="H237" s="28">
        <v>574.0</v>
      </c>
      <c r="I237" s="28">
        <v>6888.0</v>
      </c>
      <c r="J237" s="25">
        <v>0.0</v>
      </c>
      <c r="K237" s="28">
        <v>0.0</v>
      </c>
      <c r="L237" s="28">
        <v>6888.0</v>
      </c>
      <c r="M237" s="25" t="s">
        <v>68</v>
      </c>
      <c r="N237" s="25" t="s">
        <v>72</v>
      </c>
      <c r="O237" s="25" t="s">
        <v>57</v>
      </c>
      <c r="P237" s="15">
        <f t="shared" si="1"/>
        <v>7</v>
      </c>
    </row>
    <row r="238">
      <c r="A238" s="20">
        <v>20096.0</v>
      </c>
      <c r="B238" s="26">
        <v>45867.0</v>
      </c>
      <c r="C238" s="20" t="s">
        <v>58</v>
      </c>
      <c r="D238" s="20" t="s">
        <v>25</v>
      </c>
      <c r="E238" s="20" t="s">
        <v>77</v>
      </c>
      <c r="F238" s="20" t="s">
        <v>90</v>
      </c>
      <c r="G238" s="20">
        <v>1.0</v>
      </c>
      <c r="H238" s="24">
        <v>4935.0</v>
      </c>
      <c r="I238" s="24">
        <v>4935.0</v>
      </c>
      <c r="J238" s="20">
        <v>10.0</v>
      </c>
      <c r="K238" s="24">
        <v>494.0</v>
      </c>
      <c r="L238" s="24">
        <v>4441.0</v>
      </c>
      <c r="M238" s="20" t="s">
        <v>68</v>
      </c>
      <c r="N238" s="20" t="s">
        <v>43</v>
      </c>
      <c r="O238" s="20" t="s">
        <v>44</v>
      </c>
      <c r="P238" s="15">
        <f t="shared" si="1"/>
        <v>7</v>
      </c>
    </row>
    <row r="239">
      <c r="A239" s="34">
        <v>20269.0</v>
      </c>
      <c r="B239" s="26">
        <v>45867.0</v>
      </c>
      <c r="C239" s="34" t="s">
        <v>97</v>
      </c>
      <c r="D239" s="34" t="s">
        <v>25</v>
      </c>
      <c r="E239" s="34" t="s">
        <v>77</v>
      </c>
      <c r="F239" s="34" t="s">
        <v>88</v>
      </c>
      <c r="G239" s="34">
        <v>6.0</v>
      </c>
      <c r="H239" s="35">
        <v>3644.0</v>
      </c>
      <c r="I239" s="35">
        <v>21864.0</v>
      </c>
      <c r="J239" s="34">
        <v>20.0</v>
      </c>
      <c r="K239" s="35">
        <v>4373.0</v>
      </c>
      <c r="L239" s="35">
        <v>17491.0</v>
      </c>
      <c r="M239" s="34" t="s">
        <v>96</v>
      </c>
      <c r="N239" s="34" t="s">
        <v>62</v>
      </c>
      <c r="O239" s="34" t="s">
        <v>69</v>
      </c>
      <c r="P239" s="15">
        <f t="shared" si="1"/>
        <v>7</v>
      </c>
    </row>
    <row r="240">
      <c r="A240" s="20">
        <v>20296.0</v>
      </c>
      <c r="B240" s="26">
        <v>45867.0</v>
      </c>
      <c r="C240" s="20" t="s">
        <v>66</v>
      </c>
      <c r="D240" s="20" t="s">
        <v>46</v>
      </c>
      <c r="E240" s="20" t="s">
        <v>53</v>
      </c>
      <c r="F240" s="20" t="s">
        <v>95</v>
      </c>
      <c r="G240" s="20">
        <v>4.0</v>
      </c>
      <c r="H240" s="24">
        <v>1103.0</v>
      </c>
      <c r="I240" s="24">
        <v>4412.0</v>
      </c>
      <c r="J240" s="20">
        <v>20.0</v>
      </c>
      <c r="K240" s="24">
        <v>882.0</v>
      </c>
      <c r="L240" s="24">
        <v>3530.0</v>
      </c>
      <c r="M240" s="20" t="s">
        <v>42</v>
      </c>
      <c r="N240" s="20" t="s">
        <v>50</v>
      </c>
      <c r="O240" s="20" t="s">
        <v>69</v>
      </c>
      <c r="P240" s="15">
        <f t="shared" si="1"/>
        <v>7</v>
      </c>
    </row>
    <row r="241">
      <c r="A241" s="25">
        <v>20322.0</v>
      </c>
      <c r="B241" s="26">
        <v>45869.0</v>
      </c>
      <c r="C241" s="25" t="s">
        <v>93</v>
      </c>
      <c r="D241" s="25" t="s">
        <v>25</v>
      </c>
      <c r="E241" s="25" t="s">
        <v>77</v>
      </c>
      <c r="F241" s="25" t="s">
        <v>78</v>
      </c>
      <c r="G241" s="25">
        <v>4.0</v>
      </c>
      <c r="H241" s="28">
        <v>4252.0</v>
      </c>
      <c r="I241" s="28">
        <v>17008.0</v>
      </c>
      <c r="J241" s="25">
        <v>0.0</v>
      </c>
      <c r="K241" s="28">
        <v>0.0</v>
      </c>
      <c r="L241" s="28">
        <v>17008.0</v>
      </c>
      <c r="M241" s="25" t="s">
        <v>68</v>
      </c>
      <c r="N241" s="25" t="s">
        <v>62</v>
      </c>
      <c r="O241" s="25" t="s">
        <v>44</v>
      </c>
      <c r="P241" s="15">
        <f t="shared" si="1"/>
        <v>7</v>
      </c>
    </row>
    <row r="242">
      <c r="A242" s="20">
        <v>20394.0</v>
      </c>
      <c r="B242" s="26">
        <v>45869.0</v>
      </c>
      <c r="C242" s="20" t="s">
        <v>82</v>
      </c>
      <c r="D242" s="20" t="s">
        <v>52</v>
      </c>
      <c r="E242" s="20" t="s">
        <v>77</v>
      </c>
      <c r="F242" s="20" t="s">
        <v>101</v>
      </c>
      <c r="G242" s="20">
        <v>9.0</v>
      </c>
      <c r="H242" s="24">
        <v>2978.0</v>
      </c>
      <c r="I242" s="24">
        <v>26802.0</v>
      </c>
      <c r="J242" s="20">
        <v>20.0</v>
      </c>
      <c r="K242" s="24">
        <v>5360.0</v>
      </c>
      <c r="L242" s="24">
        <v>21442.0</v>
      </c>
      <c r="M242" s="20" t="s">
        <v>61</v>
      </c>
      <c r="N242" s="20" t="s">
        <v>50</v>
      </c>
      <c r="O242" s="20" t="s">
        <v>57</v>
      </c>
      <c r="P242" s="15">
        <f t="shared" si="1"/>
        <v>7</v>
      </c>
    </row>
    <row r="243">
      <c r="A243" s="34">
        <v>20203.0</v>
      </c>
      <c r="B243" s="26">
        <v>45871.0</v>
      </c>
      <c r="C243" s="34" t="s">
        <v>89</v>
      </c>
      <c r="D243" s="34" t="s">
        <v>46</v>
      </c>
      <c r="E243" s="34" t="s">
        <v>77</v>
      </c>
      <c r="F243" s="34" t="s">
        <v>78</v>
      </c>
      <c r="G243" s="34">
        <v>6.0</v>
      </c>
      <c r="H243" s="35">
        <v>4011.0</v>
      </c>
      <c r="I243" s="35">
        <v>24066.0</v>
      </c>
      <c r="J243" s="34">
        <v>10.0</v>
      </c>
      <c r="K243" s="35">
        <v>2407.0</v>
      </c>
      <c r="L243" s="35">
        <v>21659.0</v>
      </c>
      <c r="M243" s="34" t="s">
        <v>55</v>
      </c>
      <c r="N243" s="34" t="s">
        <v>72</v>
      </c>
      <c r="O243" s="34" t="s">
        <v>44</v>
      </c>
      <c r="P243" s="15">
        <f t="shared" si="1"/>
        <v>8</v>
      </c>
    </row>
    <row r="244">
      <c r="A244" s="20">
        <v>20308.0</v>
      </c>
      <c r="B244" s="26">
        <v>45871.0</v>
      </c>
      <c r="C244" s="20" t="s">
        <v>92</v>
      </c>
      <c r="D244" s="20" t="s">
        <v>25</v>
      </c>
      <c r="E244" s="20" t="s">
        <v>77</v>
      </c>
      <c r="F244" s="20" t="s">
        <v>110</v>
      </c>
      <c r="G244" s="20">
        <v>4.0</v>
      </c>
      <c r="H244" s="24">
        <v>6969.0</v>
      </c>
      <c r="I244" s="24">
        <v>27876.0</v>
      </c>
      <c r="J244" s="20">
        <v>20.0</v>
      </c>
      <c r="K244" s="24">
        <v>5575.0</v>
      </c>
      <c r="L244" s="24">
        <v>22301.0</v>
      </c>
      <c r="M244" s="20" t="s">
        <v>55</v>
      </c>
      <c r="N244" s="20" t="s">
        <v>62</v>
      </c>
      <c r="O244" s="20" t="s">
        <v>57</v>
      </c>
      <c r="P244" s="15">
        <f t="shared" si="1"/>
        <v>8</v>
      </c>
    </row>
    <row r="245">
      <c r="A245" s="25">
        <v>20002.0</v>
      </c>
      <c r="B245" s="26">
        <v>45874.0</v>
      </c>
      <c r="C245" s="27" t="s">
        <v>66</v>
      </c>
      <c r="D245" s="25" t="s">
        <v>25</v>
      </c>
      <c r="E245" s="25" t="s">
        <v>26</v>
      </c>
      <c r="F245" s="25" t="s">
        <v>104</v>
      </c>
      <c r="G245" s="25">
        <v>4.0</v>
      </c>
      <c r="H245" s="28">
        <v>358.0</v>
      </c>
      <c r="I245" s="28">
        <v>1432.0</v>
      </c>
      <c r="J245" s="25">
        <v>0.0</v>
      </c>
      <c r="K245" s="28">
        <v>0.0</v>
      </c>
      <c r="L245" s="28">
        <v>1432.0</v>
      </c>
      <c r="M245" s="25" t="s">
        <v>87</v>
      </c>
      <c r="N245" s="25" t="s">
        <v>43</v>
      </c>
      <c r="O245" s="25" t="s">
        <v>69</v>
      </c>
      <c r="P245" s="15">
        <f t="shared" si="1"/>
        <v>8</v>
      </c>
    </row>
    <row r="246">
      <c r="A246" s="29">
        <v>20019.0</v>
      </c>
      <c r="B246" s="26">
        <v>45874.0</v>
      </c>
      <c r="C246" s="29" t="s">
        <v>24</v>
      </c>
      <c r="D246" s="29" t="s">
        <v>52</v>
      </c>
      <c r="E246" s="29" t="s">
        <v>59</v>
      </c>
      <c r="F246" s="29" t="s">
        <v>79</v>
      </c>
      <c r="G246" s="29">
        <v>11.0</v>
      </c>
      <c r="H246" s="30">
        <v>432.0</v>
      </c>
      <c r="I246" s="30">
        <v>4752.0</v>
      </c>
      <c r="J246" s="29">
        <v>20.0</v>
      </c>
      <c r="K246" s="30">
        <v>950.0</v>
      </c>
      <c r="L246" s="30">
        <v>3802.0</v>
      </c>
      <c r="M246" s="29" t="s">
        <v>71</v>
      </c>
      <c r="N246" s="29" t="s">
        <v>50</v>
      </c>
      <c r="O246" s="29" t="s">
        <v>69</v>
      </c>
      <c r="P246" s="15">
        <f t="shared" si="1"/>
        <v>8</v>
      </c>
    </row>
    <row r="247">
      <c r="A247" s="25">
        <v>20116.0</v>
      </c>
      <c r="B247" s="26">
        <v>45878.0</v>
      </c>
      <c r="C247" s="25" t="s">
        <v>80</v>
      </c>
      <c r="D247" s="25" t="s">
        <v>64</v>
      </c>
      <c r="E247" s="25" t="s">
        <v>77</v>
      </c>
      <c r="F247" s="25" t="s">
        <v>110</v>
      </c>
      <c r="G247" s="25">
        <v>9.0</v>
      </c>
      <c r="H247" s="28">
        <v>4998.0</v>
      </c>
      <c r="I247" s="28">
        <v>44982.0</v>
      </c>
      <c r="J247" s="25">
        <v>0.0</v>
      </c>
      <c r="K247" s="28">
        <v>0.0</v>
      </c>
      <c r="L247" s="28">
        <v>44982.0</v>
      </c>
      <c r="M247" s="25" t="s">
        <v>61</v>
      </c>
      <c r="N247" s="25" t="s">
        <v>62</v>
      </c>
      <c r="O247" s="25" t="s">
        <v>44</v>
      </c>
      <c r="P247" s="15">
        <f t="shared" si="1"/>
        <v>8</v>
      </c>
    </row>
    <row r="248">
      <c r="A248" s="29">
        <v>20217.0</v>
      </c>
      <c r="B248" s="26">
        <v>45878.0</v>
      </c>
      <c r="C248" s="29" t="s">
        <v>73</v>
      </c>
      <c r="D248" s="29" t="s">
        <v>52</v>
      </c>
      <c r="E248" s="29" t="s">
        <v>47</v>
      </c>
      <c r="F248" s="29" t="s">
        <v>103</v>
      </c>
      <c r="G248" s="29">
        <v>9.0</v>
      </c>
      <c r="H248" s="30">
        <v>1648.0</v>
      </c>
      <c r="I248" s="30">
        <v>14832.0</v>
      </c>
      <c r="J248" s="29">
        <v>10.0</v>
      </c>
      <c r="K248" s="30">
        <v>1483.0</v>
      </c>
      <c r="L248" s="30">
        <v>13349.0</v>
      </c>
      <c r="M248" s="29" t="s">
        <v>71</v>
      </c>
      <c r="N248" s="29" t="s">
        <v>56</v>
      </c>
      <c r="O248" s="29" t="s">
        <v>57</v>
      </c>
      <c r="P248" s="15">
        <f t="shared" si="1"/>
        <v>8</v>
      </c>
    </row>
    <row r="249">
      <c r="A249" s="25">
        <v>20012.0</v>
      </c>
      <c r="B249" s="26">
        <v>45880.0</v>
      </c>
      <c r="C249" s="25" t="s">
        <v>80</v>
      </c>
      <c r="D249" s="25" t="s">
        <v>64</v>
      </c>
      <c r="E249" s="25" t="s">
        <v>59</v>
      </c>
      <c r="F249" s="25" t="s">
        <v>79</v>
      </c>
      <c r="G249" s="25">
        <v>12.0</v>
      </c>
      <c r="H249" s="28">
        <v>151.0</v>
      </c>
      <c r="I249" s="28">
        <v>1812.0</v>
      </c>
      <c r="J249" s="25">
        <v>0.0</v>
      </c>
      <c r="K249" s="28">
        <v>0.0</v>
      </c>
      <c r="L249" s="28">
        <v>1812.0</v>
      </c>
      <c r="M249" s="25" t="s">
        <v>96</v>
      </c>
      <c r="N249" s="25" t="s">
        <v>56</v>
      </c>
      <c r="O249" s="25" t="s">
        <v>57</v>
      </c>
      <c r="P249" s="15">
        <f t="shared" si="1"/>
        <v>8</v>
      </c>
    </row>
    <row r="250">
      <c r="A250" s="20">
        <v>20338.0</v>
      </c>
      <c r="B250" s="26">
        <v>45882.0</v>
      </c>
      <c r="C250" s="20" t="s">
        <v>80</v>
      </c>
      <c r="D250" s="20" t="s">
        <v>64</v>
      </c>
      <c r="E250" s="20" t="s">
        <v>47</v>
      </c>
      <c r="F250" s="20" t="s">
        <v>27</v>
      </c>
      <c r="G250" s="20">
        <v>13.0</v>
      </c>
      <c r="H250" s="24">
        <v>734.0</v>
      </c>
      <c r="I250" s="24">
        <v>9542.0</v>
      </c>
      <c r="J250" s="20">
        <v>5.0</v>
      </c>
      <c r="K250" s="24">
        <v>477.0</v>
      </c>
      <c r="L250" s="24">
        <v>9065.0</v>
      </c>
      <c r="M250" s="20" t="s">
        <v>42</v>
      </c>
      <c r="N250" s="20" t="s">
        <v>62</v>
      </c>
      <c r="O250" s="20" t="s">
        <v>44</v>
      </c>
      <c r="P250" s="15">
        <f t="shared" si="1"/>
        <v>8</v>
      </c>
    </row>
    <row r="251">
      <c r="A251" s="34">
        <v>20339.0</v>
      </c>
      <c r="B251" s="26">
        <v>45883.0</v>
      </c>
      <c r="C251" s="34" t="s">
        <v>93</v>
      </c>
      <c r="D251" s="34" t="s">
        <v>25</v>
      </c>
      <c r="E251" s="34" t="s">
        <v>26</v>
      </c>
      <c r="F251" s="34" t="s">
        <v>74</v>
      </c>
      <c r="G251" s="34">
        <v>11.0</v>
      </c>
      <c r="H251" s="35">
        <v>441.0</v>
      </c>
      <c r="I251" s="35">
        <v>4851.0</v>
      </c>
      <c r="J251" s="34">
        <v>20.0</v>
      </c>
      <c r="K251" s="35">
        <v>970.0</v>
      </c>
      <c r="L251" s="35">
        <v>3881.0</v>
      </c>
      <c r="M251" s="34" t="s">
        <v>49</v>
      </c>
      <c r="N251" s="34" t="s">
        <v>56</v>
      </c>
      <c r="O251" s="34" t="s">
        <v>69</v>
      </c>
      <c r="P251" s="15">
        <f t="shared" si="1"/>
        <v>8</v>
      </c>
    </row>
    <row r="252">
      <c r="A252" s="20">
        <v>20098.0</v>
      </c>
      <c r="B252" s="26">
        <v>45885.0</v>
      </c>
      <c r="C252" s="20" t="s">
        <v>73</v>
      </c>
      <c r="D252" s="20" t="s">
        <v>52</v>
      </c>
      <c r="E252" s="20" t="s">
        <v>77</v>
      </c>
      <c r="F252" s="20" t="s">
        <v>101</v>
      </c>
      <c r="G252" s="20">
        <v>2.0</v>
      </c>
      <c r="H252" s="24">
        <v>5360.0</v>
      </c>
      <c r="I252" s="24">
        <v>10720.0</v>
      </c>
      <c r="J252" s="20">
        <v>5.0</v>
      </c>
      <c r="K252" s="24">
        <v>536.0</v>
      </c>
      <c r="L252" s="24">
        <v>10184.0</v>
      </c>
      <c r="M252" s="20" t="s">
        <v>96</v>
      </c>
      <c r="N252" s="20" t="s">
        <v>50</v>
      </c>
      <c r="O252" s="20" t="s">
        <v>69</v>
      </c>
      <c r="P252" s="15">
        <f t="shared" si="1"/>
        <v>8</v>
      </c>
    </row>
    <row r="253">
      <c r="A253" s="25">
        <v>20278.0</v>
      </c>
      <c r="B253" s="26">
        <v>45885.0</v>
      </c>
      <c r="C253" s="25" t="s">
        <v>76</v>
      </c>
      <c r="D253" s="25" t="s">
        <v>64</v>
      </c>
      <c r="E253" s="25" t="s">
        <v>26</v>
      </c>
      <c r="F253" s="25" t="s">
        <v>74</v>
      </c>
      <c r="G253" s="25">
        <v>2.0</v>
      </c>
      <c r="H253" s="28">
        <v>163.0</v>
      </c>
      <c r="I253" s="28">
        <v>326.0</v>
      </c>
      <c r="J253" s="25">
        <v>20.0</v>
      </c>
      <c r="K253" s="28">
        <v>65.0</v>
      </c>
      <c r="L253" s="28">
        <v>261.0</v>
      </c>
      <c r="M253" s="25" t="s">
        <v>61</v>
      </c>
      <c r="N253" s="25" t="s">
        <v>43</v>
      </c>
      <c r="O253" s="25" t="s">
        <v>69</v>
      </c>
      <c r="P253" s="15">
        <f t="shared" si="1"/>
        <v>8</v>
      </c>
    </row>
    <row r="254">
      <c r="A254" s="20">
        <v>20146.0</v>
      </c>
      <c r="B254" s="26">
        <v>45886.0</v>
      </c>
      <c r="C254" s="20" t="s">
        <v>24</v>
      </c>
      <c r="D254" s="20" t="s">
        <v>52</v>
      </c>
      <c r="E254" s="20" t="s">
        <v>77</v>
      </c>
      <c r="F254" s="20" t="s">
        <v>105</v>
      </c>
      <c r="G254" s="20">
        <v>8.0</v>
      </c>
      <c r="H254" s="24">
        <v>4562.0</v>
      </c>
      <c r="I254" s="24">
        <v>36496.0</v>
      </c>
      <c r="J254" s="20">
        <v>10.0</v>
      </c>
      <c r="K254" s="24">
        <v>3650.0</v>
      </c>
      <c r="L254" s="24">
        <v>32846.0</v>
      </c>
      <c r="M254" s="20" t="s">
        <v>61</v>
      </c>
      <c r="N254" s="20" t="s">
        <v>72</v>
      </c>
      <c r="O254" s="20" t="s">
        <v>57</v>
      </c>
      <c r="P254" s="15">
        <f t="shared" si="1"/>
        <v>8</v>
      </c>
    </row>
    <row r="255">
      <c r="A255" s="34">
        <v>20003.0</v>
      </c>
      <c r="B255" s="26">
        <v>45887.0</v>
      </c>
      <c r="C255" s="36" t="s">
        <v>89</v>
      </c>
      <c r="D255" s="34" t="s">
        <v>46</v>
      </c>
      <c r="E255" s="36" t="s">
        <v>53</v>
      </c>
      <c r="F255" s="34" t="s">
        <v>100</v>
      </c>
      <c r="G255" s="34">
        <v>12.0</v>
      </c>
      <c r="H255" s="35">
        <v>552.0</v>
      </c>
      <c r="I255" s="35">
        <v>6624.0</v>
      </c>
      <c r="J255" s="34">
        <v>20.0</v>
      </c>
      <c r="K255" s="35">
        <v>1325.0</v>
      </c>
      <c r="L255" s="35">
        <v>5299.0</v>
      </c>
      <c r="M255" s="34" t="s">
        <v>55</v>
      </c>
      <c r="N255" s="34" t="s">
        <v>62</v>
      </c>
      <c r="O255" s="34" t="s">
        <v>69</v>
      </c>
      <c r="P255" s="15">
        <f t="shared" si="1"/>
        <v>8</v>
      </c>
    </row>
    <row r="256">
      <c r="A256" s="29">
        <v>20225.0</v>
      </c>
      <c r="B256" s="26">
        <v>45887.0</v>
      </c>
      <c r="C256" s="29" t="s">
        <v>82</v>
      </c>
      <c r="D256" s="29" t="s">
        <v>52</v>
      </c>
      <c r="E256" s="29" t="s">
        <v>47</v>
      </c>
      <c r="F256" s="29" t="s">
        <v>27</v>
      </c>
      <c r="G256" s="29">
        <v>9.0</v>
      </c>
      <c r="H256" s="30">
        <v>2425.0</v>
      </c>
      <c r="I256" s="30">
        <v>21825.0</v>
      </c>
      <c r="J256" s="29">
        <v>0.0</v>
      </c>
      <c r="K256" s="30">
        <v>0.0</v>
      </c>
      <c r="L256" s="30">
        <v>21825.0</v>
      </c>
      <c r="M256" s="29" t="s">
        <v>55</v>
      </c>
      <c r="N256" s="29" t="s">
        <v>56</v>
      </c>
      <c r="O256" s="29" t="s">
        <v>57</v>
      </c>
      <c r="P256" s="15">
        <f t="shared" si="1"/>
        <v>8</v>
      </c>
    </row>
    <row r="257">
      <c r="A257" s="34">
        <v>20069.0</v>
      </c>
      <c r="B257" s="26">
        <v>45888.0</v>
      </c>
      <c r="C257" s="34" t="s">
        <v>82</v>
      </c>
      <c r="D257" s="34" t="s">
        <v>52</v>
      </c>
      <c r="E257" s="34" t="s">
        <v>53</v>
      </c>
      <c r="F257" s="34" t="s">
        <v>102</v>
      </c>
      <c r="G257" s="34">
        <v>4.0</v>
      </c>
      <c r="H257" s="35">
        <v>878.0</v>
      </c>
      <c r="I257" s="35">
        <v>3512.0</v>
      </c>
      <c r="J257" s="34">
        <v>0.0</v>
      </c>
      <c r="K257" s="35">
        <v>0.0</v>
      </c>
      <c r="L257" s="35">
        <v>3512.0</v>
      </c>
      <c r="M257" s="34" t="s">
        <v>106</v>
      </c>
      <c r="N257" s="34" t="s">
        <v>72</v>
      </c>
      <c r="O257" s="34" t="s">
        <v>57</v>
      </c>
      <c r="P257" s="15">
        <f t="shared" si="1"/>
        <v>8</v>
      </c>
    </row>
    <row r="258">
      <c r="A258" s="20">
        <v>20232.0</v>
      </c>
      <c r="B258" s="26">
        <v>45888.0</v>
      </c>
      <c r="C258" s="20" t="s">
        <v>24</v>
      </c>
      <c r="D258" s="20" t="s">
        <v>52</v>
      </c>
      <c r="E258" s="20" t="s">
        <v>59</v>
      </c>
      <c r="F258" s="20" t="s">
        <v>79</v>
      </c>
      <c r="G258" s="20">
        <v>12.0</v>
      </c>
      <c r="H258" s="24">
        <v>445.0</v>
      </c>
      <c r="I258" s="24">
        <v>5340.0</v>
      </c>
      <c r="J258" s="20">
        <v>10.0</v>
      </c>
      <c r="K258" s="24">
        <v>534.0</v>
      </c>
      <c r="L258" s="24">
        <v>4806.0</v>
      </c>
      <c r="M258" s="20" t="s">
        <v>71</v>
      </c>
      <c r="N258" s="20" t="s">
        <v>56</v>
      </c>
      <c r="O258" s="20" t="s">
        <v>69</v>
      </c>
      <c r="P258" s="15">
        <f t="shared" si="1"/>
        <v>8</v>
      </c>
    </row>
    <row r="259">
      <c r="A259" s="34">
        <v>20151.0</v>
      </c>
      <c r="B259" s="26">
        <v>45889.0</v>
      </c>
      <c r="C259" s="34" t="s">
        <v>80</v>
      </c>
      <c r="D259" s="34" t="s">
        <v>64</v>
      </c>
      <c r="E259" s="34" t="s">
        <v>59</v>
      </c>
      <c r="F259" s="34" t="s">
        <v>79</v>
      </c>
      <c r="G259" s="34">
        <v>13.0</v>
      </c>
      <c r="H259" s="35">
        <v>423.0</v>
      </c>
      <c r="I259" s="35">
        <v>5499.0</v>
      </c>
      <c r="J259" s="34">
        <v>10.0</v>
      </c>
      <c r="K259" s="35">
        <v>550.0</v>
      </c>
      <c r="L259" s="35">
        <v>4949.0</v>
      </c>
      <c r="M259" s="34" t="s">
        <v>87</v>
      </c>
      <c r="N259" s="34" t="s">
        <v>72</v>
      </c>
      <c r="O259" s="34" t="s">
        <v>44</v>
      </c>
      <c r="P259" s="15">
        <f t="shared" si="1"/>
        <v>8</v>
      </c>
    </row>
    <row r="260">
      <c r="A260" s="20">
        <v>20350.0</v>
      </c>
      <c r="B260" s="26">
        <v>45889.0</v>
      </c>
      <c r="C260" s="20" t="s">
        <v>76</v>
      </c>
      <c r="D260" s="20" t="s">
        <v>64</v>
      </c>
      <c r="E260" s="20" t="s">
        <v>77</v>
      </c>
      <c r="F260" s="20" t="s">
        <v>110</v>
      </c>
      <c r="G260" s="20">
        <v>10.0</v>
      </c>
      <c r="H260" s="24">
        <v>3348.0</v>
      </c>
      <c r="I260" s="24">
        <v>33480.0</v>
      </c>
      <c r="J260" s="20">
        <v>15.0</v>
      </c>
      <c r="K260" s="24">
        <v>5022.0</v>
      </c>
      <c r="L260" s="24">
        <v>28458.0</v>
      </c>
      <c r="M260" s="20" t="s">
        <v>87</v>
      </c>
      <c r="N260" s="20" t="s">
        <v>50</v>
      </c>
      <c r="O260" s="20" t="s">
        <v>69</v>
      </c>
      <c r="P260" s="15">
        <f t="shared" si="1"/>
        <v>8</v>
      </c>
    </row>
    <row r="261">
      <c r="A261" s="34">
        <v>20099.0</v>
      </c>
      <c r="B261" s="26">
        <v>45890.0</v>
      </c>
      <c r="C261" s="34" t="s">
        <v>92</v>
      </c>
      <c r="D261" s="34" t="s">
        <v>25</v>
      </c>
      <c r="E261" s="34" t="s">
        <v>77</v>
      </c>
      <c r="F261" s="34" t="s">
        <v>105</v>
      </c>
      <c r="G261" s="34">
        <v>11.0</v>
      </c>
      <c r="H261" s="35">
        <v>1314.0</v>
      </c>
      <c r="I261" s="35">
        <v>14454.0</v>
      </c>
      <c r="J261" s="34">
        <v>20.0</v>
      </c>
      <c r="K261" s="35">
        <v>2891.0</v>
      </c>
      <c r="L261" s="35">
        <v>11563.0</v>
      </c>
      <c r="M261" s="34" t="s">
        <v>49</v>
      </c>
      <c r="N261" s="34" t="s">
        <v>50</v>
      </c>
      <c r="O261" s="34" t="s">
        <v>69</v>
      </c>
      <c r="P261" s="15">
        <f t="shared" si="1"/>
        <v>8</v>
      </c>
    </row>
    <row r="262">
      <c r="A262" s="29">
        <v>20185.0</v>
      </c>
      <c r="B262" s="26">
        <v>45890.0</v>
      </c>
      <c r="C262" s="29" t="s">
        <v>45</v>
      </c>
      <c r="D262" s="29" t="s">
        <v>46</v>
      </c>
      <c r="E262" s="29" t="s">
        <v>59</v>
      </c>
      <c r="F262" s="29" t="s">
        <v>83</v>
      </c>
      <c r="G262" s="29">
        <v>15.0</v>
      </c>
      <c r="H262" s="30">
        <v>400.0</v>
      </c>
      <c r="I262" s="30">
        <v>6000.0</v>
      </c>
      <c r="J262" s="29">
        <v>20.0</v>
      </c>
      <c r="K262" s="30">
        <v>1200.0</v>
      </c>
      <c r="L262" s="30">
        <v>4800.0</v>
      </c>
      <c r="M262" s="29" t="s">
        <v>106</v>
      </c>
      <c r="N262" s="29" t="s">
        <v>56</v>
      </c>
      <c r="O262" s="29" t="s">
        <v>69</v>
      </c>
      <c r="P262" s="15">
        <f t="shared" si="1"/>
        <v>8</v>
      </c>
    </row>
    <row r="263">
      <c r="A263" s="25">
        <v>20188.0</v>
      </c>
      <c r="B263" s="26">
        <v>45891.0</v>
      </c>
      <c r="C263" s="25" t="s">
        <v>93</v>
      </c>
      <c r="D263" s="25" t="s">
        <v>25</v>
      </c>
      <c r="E263" s="25" t="s">
        <v>47</v>
      </c>
      <c r="F263" s="25" t="s">
        <v>27</v>
      </c>
      <c r="G263" s="25">
        <v>11.0</v>
      </c>
      <c r="H263" s="28">
        <v>1241.0</v>
      </c>
      <c r="I263" s="28">
        <v>13651.0</v>
      </c>
      <c r="J263" s="25">
        <v>20.0</v>
      </c>
      <c r="K263" s="28">
        <v>2730.0</v>
      </c>
      <c r="L263" s="28">
        <v>10921.0</v>
      </c>
      <c r="M263" s="25" t="s">
        <v>81</v>
      </c>
      <c r="N263" s="25" t="s">
        <v>50</v>
      </c>
      <c r="O263" s="25" t="s">
        <v>57</v>
      </c>
      <c r="P263" s="15">
        <f t="shared" si="1"/>
        <v>8</v>
      </c>
    </row>
    <row r="264">
      <c r="A264" s="29">
        <v>20009.0</v>
      </c>
      <c r="B264" s="26">
        <v>45892.0</v>
      </c>
      <c r="C264" s="29" t="s">
        <v>76</v>
      </c>
      <c r="D264" s="29" t="s">
        <v>64</v>
      </c>
      <c r="E264" s="29" t="s">
        <v>53</v>
      </c>
      <c r="F264" s="29" t="s">
        <v>75</v>
      </c>
      <c r="G264" s="29">
        <v>4.0</v>
      </c>
      <c r="H264" s="30">
        <v>1496.0</v>
      </c>
      <c r="I264" s="30">
        <v>5984.0</v>
      </c>
      <c r="J264" s="29">
        <v>0.0</v>
      </c>
      <c r="K264" s="30">
        <v>0.0</v>
      </c>
      <c r="L264" s="30">
        <v>5984.0</v>
      </c>
      <c r="M264" s="29" t="s">
        <v>106</v>
      </c>
      <c r="N264" s="29" t="s">
        <v>50</v>
      </c>
      <c r="O264" s="29" t="s">
        <v>57</v>
      </c>
      <c r="P264" s="15">
        <f t="shared" si="1"/>
        <v>8</v>
      </c>
    </row>
    <row r="265">
      <c r="A265" s="25">
        <v>20348.0</v>
      </c>
      <c r="B265" s="26">
        <v>45892.0</v>
      </c>
      <c r="C265" s="25" t="s">
        <v>76</v>
      </c>
      <c r="D265" s="25" t="s">
        <v>64</v>
      </c>
      <c r="E265" s="25" t="s">
        <v>59</v>
      </c>
      <c r="F265" s="25" t="s">
        <v>79</v>
      </c>
      <c r="G265" s="25">
        <v>9.0</v>
      </c>
      <c r="H265" s="28">
        <v>359.0</v>
      </c>
      <c r="I265" s="28">
        <v>3231.0</v>
      </c>
      <c r="J265" s="25">
        <v>10.0</v>
      </c>
      <c r="K265" s="28">
        <v>323.0</v>
      </c>
      <c r="L265" s="28">
        <v>2908.0</v>
      </c>
      <c r="M265" s="25" t="s">
        <v>68</v>
      </c>
      <c r="N265" s="25" t="s">
        <v>56</v>
      </c>
      <c r="O265" s="25" t="s">
        <v>69</v>
      </c>
      <c r="P265" s="15">
        <f t="shared" si="1"/>
        <v>8</v>
      </c>
    </row>
    <row r="266">
      <c r="A266" s="20">
        <v>20124.0</v>
      </c>
      <c r="B266" s="26">
        <v>45894.0</v>
      </c>
      <c r="C266" s="20" t="s">
        <v>93</v>
      </c>
      <c r="D266" s="20" t="s">
        <v>25</v>
      </c>
      <c r="E266" s="20" t="s">
        <v>59</v>
      </c>
      <c r="F266" s="20" t="s">
        <v>83</v>
      </c>
      <c r="G266" s="20">
        <v>11.0</v>
      </c>
      <c r="H266" s="24">
        <v>303.0</v>
      </c>
      <c r="I266" s="24">
        <v>3333.0</v>
      </c>
      <c r="J266" s="20">
        <v>0.0</v>
      </c>
      <c r="K266" s="24">
        <v>0.0</v>
      </c>
      <c r="L266" s="24">
        <v>3333.0</v>
      </c>
      <c r="M266" s="20" t="s">
        <v>81</v>
      </c>
      <c r="N266" s="20" t="s">
        <v>43</v>
      </c>
      <c r="O266" s="20" t="s">
        <v>69</v>
      </c>
      <c r="P266" s="15">
        <f t="shared" si="1"/>
        <v>8</v>
      </c>
    </row>
    <row r="267">
      <c r="A267" s="34">
        <v>20417.0</v>
      </c>
      <c r="B267" s="26">
        <v>45895.0</v>
      </c>
      <c r="C267" s="34" t="s">
        <v>76</v>
      </c>
      <c r="D267" s="34" t="s">
        <v>64</v>
      </c>
      <c r="E267" s="34" t="s">
        <v>77</v>
      </c>
      <c r="F267" s="34" t="s">
        <v>105</v>
      </c>
      <c r="G267" s="34">
        <v>13.0</v>
      </c>
      <c r="H267" s="35">
        <v>4355.0</v>
      </c>
      <c r="I267" s="35">
        <v>56615.0</v>
      </c>
      <c r="J267" s="34">
        <v>20.0</v>
      </c>
      <c r="K267" s="35">
        <v>11323.0</v>
      </c>
      <c r="L267" s="35">
        <v>45292.0</v>
      </c>
      <c r="M267" s="34" t="s">
        <v>71</v>
      </c>
      <c r="N267" s="34" t="s">
        <v>62</v>
      </c>
      <c r="O267" s="34" t="s">
        <v>69</v>
      </c>
      <c r="P267" s="15">
        <f t="shared" si="1"/>
        <v>8</v>
      </c>
    </row>
    <row r="268">
      <c r="A268" s="20">
        <v>20358.0</v>
      </c>
      <c r="B268" s="26">
        <v>45896.0</v>
      </c>
      <c r="C268" s="20" t="s">
        <v>76</v>
      </c>
      <c r="D268" s="20" t="s">
        <v>64</v>
      </c>
      <c r="E268" s="20" t="s">
        <v>26</v>
      </c>
      <c r="F268" s="20" t="s">
        <v>100</v>
      </c>
      <c r="G268" s="20">
        <v>15.0</v>
      </c>
      <c r="H268" s="24">
        <v>450.0</v>
      </c>
      <c r="I268" s="24">
        <v>6750.0</v>
      </c>
      <c r="J268" s="20">
        <v>5.0</v>
      </c>
      <c r="K268" s="24">
        <v>338.0</v>
      </c>
      <c r="L268" s="24">
        <v>6412.0</v>
      </c>
      <c r="M268" s="20" t="s">
        <v>49</v>
      </c>
      <c r="N268" s="20" t="s">
        <v>56</v>
      </c>
      <c r="O268" s="20" t="s">
        <v>44</v>
      </c>
      <c r="P268" s="15">
        <f t="shared" si="1"/>
        <v>8</v>
      </c>
    </row>
    <row r="269">
      <c r="A269" s="25">
        <v>20052.0</v>
      </c>
      <c r="B269" s="26">
        <v>45898.0</v>
      </c>
      <c r="C269" s="25" t="s">
        <v>97</v>
      </c>
      <c r="D269" s="25" t="s">
        <v>25</v>
      </c>
      <c r="E269" s="25" t="s">
        <v>47</v>
      </c>
      <c r="F269" s="25" t="s">
        <v>91</v>
      </c>
      <c r="G269" s="25">
        <v>6.0</v>
      </c>
      <c r="H269" s="28">
        <v>363.0</v>
      </c>
      <c r="I269" s="28">
        <v>2178.0</v>
      </c>
      <c r="J269" s="25">
        <v>20.0</v>
      </c>
      <c r="K269" s="28">
        <v>436.0</v>
      </c>
      <c r="L269" s="28">
        <v>1742.0</v>
      </c>
      <c r="M269" s="25" t="s">
        <v>81</v>
      </c>
      <c r="N269" s="25" t="s">
        <v>50</v>
      </c>
      <c r="O269" s="25" t="s">
        <v>69</v>
      </c>
      <c r="P269" s="15">
        <f t="shared" si="1"/>
        <v>8</v>
      </c>
    </row>
    <row r="270">
      <c r="A270" s="29">
        <v>20065.0</v>
      </c>
      <c r="B270" s="26">
        <v>45898.0</v>
      </c>
      <c r="C270" s="29" t="s">
        <v>82</v>
      </c>
      <c r="D270" s="29" t="s">
        <v>52</v>
      </c>
      <c r="E270" s="29" t="s">
        <v>59</v>
      </c>
      <c r="F270" s="29" t="s">
        <v>85</v>
      </c>
      <c r="G270" s="29">
        <v>3.0</v>
      </c>
      <c r="H270" s="30">
        <v>118.0</v>
      </c>
      <c r="I270" s="30">
        <v>354.0</v>
      </c>
      <c r="J270" s="29">
        <v>5.0</v>
      </c>
      <c r="K270" s="30">
        <v>18.0</v>
      </c>
      <c r="L270" s="30">
        <v>336.0</v>
      </c>
      <c r="M270" s="29" t="s">
        <v>42</v>
      </c>
      <c r="N270" s="29" t="s">
        <v>62</v>
      </c>
      <c r="O270" s="29" t="s">
        <v>57</v>
      </c>
      <c r="P270" s="15">
        <f t="shared" si="1"/>
        <v>8</v>
      </c>
    </row>
    <row r="271">
      <c r="A271" s="34">
        <v>20321.0</v>
      </c>
      <c r="B271" s="26">
        <v>45898.0</v>
      </c>
      <c r="C271" s="34" t="s">
        <v>93</v>
      </c>
      <c r="D271" s="34" t="s">
        <v>25</v>
      </c>
      <c r="E271" s="34" t="s">
        <v>47</v>
      </c>
      <c r="F271" s="34" t="s">
        <v>103</v>
      </c>
      <c r="G271" s="34">
        <v>10.0</v>
      </c>
      <c r="H271" s="35">
        <v>689.0</v>
      </c>
      <c r="I271" s="35">
        <v>6890.0</v>
      </c>
      <c r="J271" s="34">
        <v>20.0</v>
      </c>
      <c r="K271" s="35">
        <v>1378.0</v>
      </c>
      <c r="L271" s="35">
        <v>5512.0</v>
      </c>
      <c r="M271" s="34" t="s">
        <v>61</v>
      </c>
      <c r="N271" s="34" t="s">
        <v>56</v>
      </c>
      <c r="O271" s="34" t="s">
        <v>44</v>
      </c>
      <c r="P271" s="15">
        <f t="shared" si="1"/>
        <v>8</v>
      </c>
    </row>
    <row r="272">
      <c r="A272" s="29">
        <v>20079.0</v>
      </c>
      <c r="B272" s="26">
        <v>45899.0</v>
      </c>
      <c r="C272" s="29" t="s">
        <v>63</v>
      </c>
      <c r="D272" s="29" t="s">
        <v>64</v>
      </c>
      <c r="E272" s="29" t="s">
        <v>59</v>
      </c>
      <c r="F272" s="29" t="s">
        <v>83</v>
      </c>
      <c r="G272" s="29">
        <v>3.0</v>
      </c>
      <c r="H272" s="30">
        <v>320.0</v>
      </c>
      <c r="I272" s="30">
        <v>960.0</v>
      </c>
      <c r="J272" s="29">
        <v>20.0</v>
      </c>
      <c r="K272" s="30">
        <v>192.0</v>
      </c>
      <c r="L272" s="30">
        <v>768.0</v>
      </c>
      <c r="M272" s="29" t="s">
        <v>71</v>
      </c>
      <c r="N272" s="29" t="s">
        <v>72</v>
      </c>
      <c r="O272" s="29" t="s">
        <v>44</v>
      </c>
      <c r="P272" s="15">
        <f t="shared" si="1"/>
        <v>8</v>
      </c>
    </row>
    <row r="273">
      <c r="A273" s="34">
        <v>20265.0</v>
      </c>
      <c r="B273" s="26">
        <v>45899.0</v>
      </c>
      <c r="C273" s="34" t="s">
        <v>45</v>
      </c>
      <c r="D273" s="34" t="s">
        <v>46</v>
      </c>
      <c r="E273" s="34" t="s">
        <v>59</v>
      </c>
      <c r="F273" s="34" t="s">
        <v>60</v>
      </c>
      <c r="G273" s="34">
        <v>3.0</v>
      </c>
      <c r="H273" s="35">
        <v>439.0</v>
      </c>
      <c r="I273" s="35">
        <v>1317.0</v>
      </c>
      <c r="J273" s="34">
        <v>0.0</v>
      </c>
      <c r="K273" s="35">
        <v>0.0</v>
      </c>
      <c r="L273" s="35">
        <v>1317.0</v>
      </c>
      <c r="M273" s="34" t="s">
        <v>55</v>
      </c>
      <c r="N273" s="34" t="s">
        <v>50</v>
      </c>
      <c r="O273" s="34" t="s">
        <v>44</v>
      </c>
      <c r="P273" s="15">
        <f t="shared" si="1"/>
        <v>8</v>
      </c>
    </row>
    <row r="274">
      <c r="A274" s="29">
        <v>20015.0</v>
      </c>
      <c r="B274" s="26">
        <v>45901.0</v>
      </c>
      <c r="C274" s="29" t="s">
        <v>80</v>
      </c>
      <c r="D274" s="29" t="s">
        <v>64</v>
      </c>
      <c r="E274" s="29" t="s">
        <v>53</v>
      </c>
      <c r="F274" s="29" t="s">
        <v>54</v>
      </c>
      <c r="G274" s="29">
        <v>14.0</v>
      </c>
      <c r="H274" s="30">
        <v>1403.0</v>
      </c>
      <c r="I274" s="30">
        <v>19642.0</v>
      </c>
      <c r="J274" s="29">
        <v>15.0</v>
      </c>
      <c r="K274" s="30">
        <v>2946.0</v>
      </c>
      <c r="L274" s="30">
        <v>16696.0</v>
      </c>
      <c r="M274" s="29" t="s">
        <v>96</v>
      </c>
      <c r="N274" s="29" t="s">
        <v>43</v>
      </c>
      <c r="O274" s="29" t="s">
        <v>57</v>
      </c>
      <c r="P274" s="15">
        <f t="shared" si="1"/>
        <v>9</v>
      </c>
    </row>
    <row r="275">
      <c r="A275" s="34">
        <v>20169.0</v>
      </c>
      <c r="B275" s="26">
        <v>45901.0</v>
      </c>
      <c r="C275" s="34" t="s">
        <v>97</v>
      </c>
      <c r="D275" s="34" t="s">
        <v>25</v>
      </c>
      <c r="E275" s="34" t="s">
        <v>53</v>
      </c>
      <c r="F275" s="34" t="s">
        <v>95</v>
      </c>
      <c r="G275" s="34">
        <v>11.0</v>
      </c>
      <c r="H275" s="35">
        <v>1494.0</v>
      </c>
      <c r="I275" s="35">
        <v>16434.0</v>
      </c>
      <c r="J275" s="34">
        <v>10.0</v>
      </c>
      <c r="K275" s="35">
        <v>1643.0</v>
      </c>
      <c r="L275" s="35">
        <v>14791.0</v>
      </c>
      <c r="M275" s="34" t="s">
        <v>42</v>
      </c>
      <c r="N275" s="34" t="s">
        <v>72</v>
      </c>
      <c r="O275" s="34" t="s">
        <v>57</v>
      </c>
      <c r="P275" s="15">
        <f t="shared" si="1"/>
        <v>9</v>
      </c>
    </row>
    <row r="276">
      <c r="A276" s="29">
        <v>20301.0</v>
      </c>
      <c r="B276" s="26">
        <v>45901.0</v>
      </c>
      <c r="C276" s="29" t="s">
        <v>89</v>
      </c>
      <c r="D276" s="29" t="s">
        <v>46</v>
      </c>
      <c r="E276" s="29" t="s">
        <v>26</v>
      </c>
      <c r="F276" s="29" t="s">
        <v>111</v>
      </c>
      <c r="G276" s="29">
        <v>15.0</v>
      </c>
      <c r="H276" s="30">
        <v>155.0</v>
      </c>
      <c r="I276" s="30">
        <v>2325.0</v>
      </c>
      <c r="J276" s="29">
        <v>0.0</v>
      </c>
      <c r="K276" s="30">
        <v>0.0</v>
      </c>
      <c r="L276" s="30">
        <v>2325.0</v>
      </c>
      <c r="M276" s="29" t="s">
        <v>42</v>
      </c>
      <c r="N276" s="29" t="s">
        <v>50</v>
      </c>
      <c r="O276" s="29" t="s">
        <v>69</v>
      </c>
      <c r="P276" s="15">
        <f t="shared" si="1"/>
        <v>9</v>
      </c>
    </row>
    <row r="277">
      <c r="A277" s="25">
        <v>20352.0</v>
      </c>
      <c r="B277" s="26">
        <v>45903.0</v>
      </c>
      <c r="C277" s="25" t="s">
        <v>24</v>
      </c>
      <c r="D277" s="25" t="s">
        <v>52</v>
      </c>
      <c r="E277" s="25" t="s">
        <v>47</v>
      </c>
      <c r="F277" s="25" t="s">
        <v>67</v>
      </c>
      <c r="G277" s="25">
        <v>15.0</v>
      </c>
      <c r="H277" s="28">
        <v>635.0</v>
      </c>
      <c r="I277" s="28">
        <v>9525.0</v>
      </c>
      <c r="J277" s="25">
        <v>0.0</v>
      </c>
      <c r="K277" s="28">
        <v>0.0</v>
      </c>
      <c r="L277" s="28">
        <v>9525.0</v>
      </c>
      <c r="M277" s="25" t="s">
        <v>61</v>
      </c>
      <c r="N277" s="25" t="s">
        <v>50</v>
      </c>
      <c r="O277" s="25" t="s">
        <v>69</v>
      </c>
      <c r="P277" s="15">
        <f t="shared" si="1"/>
        <v>9</v>
      </c>
    </row>
    <row r="278">
      <c r="A278" s="20">
        <v>20384.0</v>
      </c>
      <c r="B278" s="26">
        <v>45903.0</v>
      </c>
      <c r="C278" s="20" t="s">
        <v>82</v>
      </c>
      <c r="D278" s="20" t="s">
        <v>52</v>
      </c>
      <c r="E278" s="20" t="s">
        <v>77</v>
      </c>
      <c r="F278" s="20" t="s">
        <v>88</v>
      </c>
      <c r="G278" s="20">
        <v>3.0</v>
      </c>
      <c r="H278" s="24">
        <v>1083.0</v>
      </c>
      <c r="I278" s="24">
        <v>3249.0</v>
      </c>
      <c r="J278" s="20">
        <v>10.0</v>
      </c>
      <c r="K278" s="24">
        <v>325.0</v>
      </c>
      <c r="L278" s="24">
        <v>2924.0</v>
      </c>
      <c r="M278" s="20" t="s">
        <v>49</v>
      </c>
      <c r="N278" s="20" t="s">
        <v>50</v>
      </c>
      <c r="O278" s="20" t="s">
        <v>69</v>
      </c>
      <c r="P278" s="15">
        <f t="shared" si="1"/>
        <v>9</v>
      </c>
    </row>
    <row r="279">
      <c r="A279" s="34">
        <v>20081.0</v>
      </c>
      <c r="B279" s="26">
        <v>45905.0</v>
      </c>
      <c r="C279" s="34" t="s">
        <v>45</v>
      </c>
      <c r="D279" s="34" t="s">
        <v>46</v>
      </c>
      <c r="E279" s="34" t="s">
        <v>53</v>
      </c>
      <c r="F279" s="34" t="s">
        <v>54</v>
      </c>
      <c r="G279" s="34">
        <v>13.0</v>
      </c>
      <c r="H279" s="35">
        <v>958.0</v>
      </c>
      <c r="I279" s="35">
        <v>12454.0</v>
      </c>
      <c r="J279" s="34">
        <v>10.0</v>
      </c>
      <c r="K279" s="35">
        <v>1245.0</v>
      </c>
      <c r="L279" s="35">
        <v>11209.0</v>
      </c>
      <c r="M279" s="34" t="s">
        <v>61</v>
      </c>
      <c r="N279" s="34" t="s">
        <v>50</v>
      </c>
      <c r="O279" s="34" t="s">
        <v>44</v>
      </c>
      <c r="P279" s="15">
        <f t="shared" si="1"/>
        <v>9</v>
      </c>
    </row>
    <row r="280">
      <c r="A280" s="29">
        <v>20379.0</v>
      </c>
      <c r="B280" s="26">
        <v>45905.0</v>
      </c>
      <c r="C280" s="29" t="s">
        <v>45</v>
      </c>
      <c r="D280" s="29" t="s">
        <v>46</v>
      </c>
      <c r="E280" s="29" t="s">
        <v>26</v>
      </c>
      <c r="F280" s="29" t="s">
        <v>100</v>
      </c>
      <c r="G280" s="29">
        <v>13.0</v>
      </c>
      <c r="H280" s="30">
        <v>619.0</v>
      </c>
      <c r="I280" s="30">
        <v>8047.0</v>
      </c>
      <c r="J280" s="29">
        <v>0.0</v>
      </c>
      <c r="K280" s="30">
        <v>0.0</v>
      </c>
      <c r="L280" s="30">
        <v>8047.0</v>
      </c>
      <c r="M280" s="29" t="s">
        <v>81</v>
      </c>
      <c r="N280" s="29" t="s">
        <v>50</v>
      </c>
      <c r="O280" s="29" t="s">
        <v>57</v>
      </c>
      <c r="P280" s="15">
        <f t="shared" si="1"/>
        <v>9</v>
      </c>
    </row>
    <row r="281">
      <c r="A281" s="25">
        <v>20382.0</v>
      </c>
      <c r="B281" s="26">
        <v>45907.0</v>
      </c>
      <c r="C281" s="25" t="s">
        <v>82</v>
      </c>
      <c r="D281" s="25" t="s">
        <v>52</v>
      </c>
      <c r="E281" s="25" t="s">
        <v>47</v>
      </c>
      <c r="F281" s="25" t="s">
        <v>91</v>
      </c>
      <c r="G281" s="25">
        <v>9.0</v>
      </c>
      <c r="H281" s="28">
        <v>514.0</v>
      </c>
      <c r="I281" s="28">
        <v>4626.0</v>
      </c>
      <c r="J281" s="25">
        <v>10.0</v>
      </c>
      <c r="K281" s="28">
        <v>463.0</v>
      </c>
      <c r="L281" s="28">
        <v>4163.0</v>
      </c>
      <c r="M281" s="25" t="s">
        <v>96</v>
      </c>
      <c r="N281" s="25" t="s">
        <v>50</v>
      </c>
      <c r="O281" s="25" t="s">
        <v>69</v>
      </c>
      <c r="P281" s="15">
        <f t="shared" si="1"/>
        <v>9</v>
      </c>
    </row>
    <row r="282">
      <c r="A282" s="20">
        <v>20238.0</v>
      </c>
      <c r="B282" s="26">
        <v>45909.0</v>
      </c>
      <c r="C282" s="20" t="s">
        <v>24</v>
      </c>
      <c r="D282" s="20" t="s">
        <v>52</v>
      </c>
      <c r="E282" s="20" t="s">
        <v>59</v>
      </c>
      <c r="F282" s="20" t="s">
        <v>86</v>
      </c>
      <c r="G282" s="20">
        <v>3.0</v>
      </c>
      <c r="H282" s="24">
        <v>449.0</v>
      </c>
      <c r="I282" s="24">
        <v>1347.0</v>
      </c>
      <c r="J282" s="20">
        <v>0.0</v>
      </c>
      <c r="K282" s="24">
        <v>0.0</v>
      </c>
      <c r="L282" s="24">
        <v>1347.0</v>
      </c>
      <c r="M282" s="20" t="s">
        <v>81</v>
      </c>
      <c r="N282" s="20" t="s">
        <v>72</v>
      </c>
      <c r="O282" s="20" t="s">
        <v>69</v>
      </c>
      <c r="P282" s="15">
        <f t="shared" si="1"/>
        <v>9</v>
      </c>
    </row>
    <row r="283">
      <c r="A283" s="25">
        <v>20010.0</v>
      </c>
      <c r="B283" s="26">
        <v>45910.0</v>
      </c>
      <c r="C283" s="25" t="s">
        <v>92</v>
      </c>
      <c r="D283" s="25" t="s">
        <v>25</v>
      </c>
      <c r="E283" s="25" t="s">
        <v>26</v>
      </c>
      <c r="F283" s="25" t="s">
        <v>104</v>
      </c>
      <c r="G283" s="25">
        <v>3.0</v>
      </c>
      <c r="H283" s="28">
        <v>283.0</v>
      </c>
      <c r="I283" s="28">
        <v>849.0</v>
      </c>
      <c r="J283" s="25">
        <v>5.0</v>
      </c>
      <c r="K283" s="28">
        <v>42.0</v>
      </c>
      <c r="L283" s="28">
        <v>807.0</v>
      </c>
      <c r="M283" s="25" t="s">
        <v>61</v>
      </c>
      <c r="N283" s="25" t="s">
        <v>56</v>
      </c>
      <c r="O283" s="25" t="s">
        <v>44</v>
      </c>
      <c r="P283" s="15">
        <f t="shared" si="1"/>
        <v>9</v>
      </c>
    </row>
    <row r="284">
      <c r="A284" s="29">
        <v>20293.0</v>
      </c>
      <c r="B284" s="26">
        <v>45910.0</v>
      </c>
      <c r="C284" s="29" t="s">
        <v>51</v>
      </c>
      <c r="D284" s="29" t="s">
        <v>52</v>
      </c>
      <c r="E284" s="29" t="s">
        <v>53</v>
      </c>
      <c r="F284" s="29" t="s">
        <v>54</v>
      </c>
      <c r="G284" s="29">
        <v>7.0</v>
      </c>
      <c r="H284" s="30">
        <v>1280.0</v>
      </c>
      <c r="I284" s="30">
        <v>8960.0</v>
      </c>
      <c r="J284" s="29">
        <v>0.0</v>
      </c>
      <c r="K284" s="30">
        <v>0.0</v>
      </c>
      <c r="L284" s="30">
        <v>8960.0</v>
      </c>
      <c r="M284" s="29" t="s">
        <v>42</v>
      </c>
      <c r="N284" s="29" t="s">
        <v>62</v>
      </c>
      <c r="O284" s="29" t="s">
        <v>69</v>
      </c>
      <c r="P284" s="15">
        <f t="shared" si="1"/>
        <v>9</v>
      </c>
    </row>
    <row r="285">
      <c r="A285" s="34">
        <v>20343.0</v>
      </c>
      <c r="B285" s="26">
        <v>45913.0</v>
      </c>
      <c r="C285" s="34" t="s">
        <v>73</v>
      </c>
      <c r="D285" s="34" t="s">
        <v>52</v>
      </c>
      <c r="E285" s="34" t="s">
        <v>53</v>
      </c>
      <c r="F285" s="34" t="s">
        <v>102</v>
      </c>
      <c r="G285" s="34">
        <v>8.0</v>
      </c>
      <c r="H285" s="35">
        <v>1125.0</v>
      </c>
      <c r="I285" s="35">
        <v>9000.0</v>
      </c>
      <c r="J285" s="34">
        <v>10.0</v>
      </c>
      <c r="K285" s="35">
        <v>900.0</v>
      </c>
      <c r="L285" s="35">
        <v>8100.0</v>
      </c>
      <c r="M285" s="34" t="s">
        <v>87</v>
      </c>
      <c r="N285" s="34" t="s">
        <v>62</v>
      </c>
      <c r="O285" s="34" t="s">
        <v>69</v>
      </c>
      <c r="P285" s="15">
        <f t="shared" si="1"/>
        <v>9</v>
      </c>
    </row>
    <row r="286">
      <c r="A286" s="29">
        <v>20167.0</v>
      </c>
      <c r="B286" s="26">
        <v>45914.0</v>
      </c>
      <c r="C286" s="29" t="s">
        <v>93</v>
      </c>
      <c r="D286" s="29" t="s">
        <v>25</v>
      </c>
      <c r="E286" s="29" t="s">
        <v>26</v>
      </c>
      <c r="F286" s="29" t="s">
        <v>104</v>
      </c>
      <c r="G286" s="29">
        <v>3.0</v>
      </c>
      <c r="H286" s="30">
        <v>461.0</v>
      </c>
      <c r="I286" s="30">
        <v>1383.0</v>
      </c>
      <c r="J286" s="29">
        <v>0.0</v>
      </c>
      <c r="K286" s="30">
        <v>0.0</v>
      </c>
      <c r="L286" s="30">
        <v>1383.0</v>
      </c>
      <c r="M286" s="29" t="s">
        <v>49</v>
      </c>
      <c r="N286" s="29" t="s">
        <v>56</v>
      </c>
      <c r="O286" s="29" t="s">
        <v>69</v>
      </c>
      <c r="P286" s="15">
        <f t="shared" si="1"/>
        <v>9</v>
      </c>
    </row>
    <row r="287">
      <c r="A287" s="25">
        <v>20206.0</v>
      </c>
      <c r="B287" s="26">
        <v>45916.0</v>
      </c>
      <c r="C287" s="25" t="s">
        <v>73</v>
      </c>
      <c r="D287" s="25" t="s">
        <v>52</v>
      </c>
      <c r="E287" s="25" t="s">
        <v>53</v>
      </c>
      <c r="F287" s="25" t="s">
        <v>102</v>
      </c>
      <c r="G287" s="25">
        <v>10.0</v>
      </c>
      <c r="H287" s="28">
        <v>1298.0</v>
      </c>
      <c r="I287" s="28">
        <v>12980.0</v>
      </c>
      <c r="J287" s="25">
        <v>10.0</v>
      </c>
      <c r="K287" s="28">
        <v>1298.0</v>
      </c>
      <c r="L287" s="28">
        <v>11682.0</v>
      </c>
      <c r="M287" s="25" t="s">
        <v>87</v>
      </c>
      <c r="N287" s="25" t="s">
        <v>43</v>
      </c>
      <c r="O287" s="25" t="s">
        <v>69</v>
      </c>
      <c r="P287" s="15">
        <f t="shared" si="1"/>
        <v>9</v>
      </c>
    </row>
    <row r="288">
      <c r="A288" s="20">
        <v>20134.0</v>
      </c>
      <c r="B288" s="26">
        <v>45920.0</v>
      </c>
      <c r="C288" s="20" t="s">
        <v>76</v>
      </c>
      <c r="D288" s="20" t="s">
        <v>64</v>
      </c>
      <c r="E288" s="20" t="s">
        <v>59</v>
      </c>
      <c r="F288" s="20" t="s">
        <v>79</v>
      </c>
      <c r="G288" s="20">
        <v>15.0</v>
      </c>
      <c r="H288" s="24">
        <v>238.0</v>
      </c>
      <c r="I288" s="24">
        <v>3570.0</v>
      </c>
      <c r="J288" s="20">
        <v>5.0</v>
      </c>
      <c r="K288" s="24">
        <v>178.0</v>
      </c>
      <c r="L288" s="24">
        <v>3392.0</v>
      </c>
      <c r="M288" s="20" t="s">
        <v>81</v>
      </c>
      <c r="N288" s="20" t="s">
        <v>43</v>
      </c>
      <c r="O288" s="20" t="s">
        <v>57</v>
      </c>
      <c r="P288" s="15">
        <f t="shared" si="1"/>
        <v>9</v>
      </c>
    </row>
    <row r="289">
      <c r="A289" s="25">
        <v>20182.0</v>
      </c>
      <c r="B289" s="26">
        <v>45921.0</v>
      </c>
      <c r="C289" s="25" t="s">
        <v>84</v>
      </c>
      <c r="D289" s="25" t="s">
        <v>46</v>
      </c>
      <c r="E289" s="25" t="s">
        <v>26</v>
      </c>
      <c r="F289" s="25" t="s">
        <v>111</v>
      </c>
      <c r="G289" s="25">
        <v>11.0</v>
      </c>
      <c r="H289" s="28">
        <v>217.0</v>
      </c>
      <c r="I289" s="28">
        <v>2387.0</v>
      </c>
      <c r="J289" s="25">
        <v>0.0</v>
      </c>
      <c r="K289" s="28">
        <v>0.0</v>
      </c>
      <c r="L289" s="28">
        <v>2387.0</v>
      </c>
      <c r="M289" s="25" t="s">
        <v>81</v>
      </c>
      <c r="N289" s="25" t="s">
        <v>72</v>
      </c>
      <c r="O289" s="25" t="s">
        <v>44</v>
      </c>
      <c r="P289" s="15">
        <f t="shared" si="1"/>
        <v>9</v>
      </c>
    </row>
    <row r="290">
      <c r="A290" s="29">
        <v>20363.0</v>
      </c>
      <c r="B290" s="26">
        <v>45921.0</v>
      </c>
      <c r="C290" s="29" t="s">
        <v>92</v>
      </c>
      <c r="D290" s="29" t="s">
        <v>25</v>
      </c>
      <c r="E290" s="29" t="s">
        <v>26</v>
      </c>
      <c r="F290" s="29" t="s">
        <v>100</v>
      </c>
      <c r="G290" s="29">
        <v>13.0</v>
      </c>
      <c r="H290" s="30">
        <v>127.0</v>
      </c>
      <c r="I290" s="30">
        <v>1651.0</v>
      </c>
      <c r="J290" s="29">
        <v>20.0</v>
      </c>
      <c r="K290" s="30">
        <v>330.0</v>
      </c>
      <c r="L290" s="30">
        <v>1321.0</v>
      </c>
      <c r="M290" s="29" t="s">
        <v>61</v>
      </c>
      <c r="N290" s="29" t="s">
        <v>62</v>
      </c>
      <c r="O290" s="29" t="s">
        <v>69</v>
      </c>
      <c r="P290" s="15">
        <f t="shared" si="1"/>
        <v>9</v>
      </c>
    </row>
    <row r="291">
      <c r="A291" s="25">
        <v>20404.0</v>
      </c>
      <c r="B291" s="26">
        <v>45922.0</v>
      </c>
      <c r="C291" s="25" t="s">
        <v>97</v>
      </c>
      <c r="D291" s="25" t="s">
        <v>25</v>
      </c>
      <c r="E291" s="25" t="s">
        <v>53</v>
      </c>
      <c r="F291" s="25" t="s">
        <v>75</v>
      </c>
      <c r="G291" s="25">
        <v>5.0</v>
      </c>
      <c r="H291" s="28">
        <v>1678.0</v>
      </c>
      <c r="I291" s="28">
        <v>8390.0</v>
      </c>
      <c r="J291" s="25">
        <v>0.0</v>
      </c>
      <c r="K291" s="28">
        <v>0.0</v>
      </c>
      <c r="L291" s="28">
        <v>8390.0</v>
      </c>
      <c r="M291" s="25" t="s">
        <v>87</v>
      </c>
      <c r="N291" s="25" t="s">
        <v>50</v>
      </c>
      <c r="O291" s="25" t="s">
        <v>44</v>
      </c>
      <c r="P291" s="15">
        <f t="shared" si="1"/>
        <v>9</v>
      </c>
    </row>
    <row r="292">
      <c r="A292" s="20">
        <v>20076.0</v>
      </c>
      <c r="B292" s="26">
        <v>45923.0</v>
      </c>
      <c r="C292" s="20" t="s">
        <v>45</v>
      </c>
      <c r="D292" s="20" t="s">
        <v>46</v>
      </c>
      <c r="E292" s="20" t="s">
        <v>47</v>
      </c>
      <c r="F292" s="20" t="s">
        <v>27</v>
      </c>
      <c r="G292" s="20">
        <v>11.0</v>
      </c>
      <c r="H292" s="24">
        <v>1292.0</v>
      </c>
      <c r="I292" s="24">
        <v>14212.0</v>
      </c>
      <c r="J292" s="20">
        <v>10.0</v>
      </c>
      <c r="K292" s="24">
        <v>1421.0</v>
      </c>
      <c r="L292" s="24">
        <v>12791.0</v>
      </c>
      <c r="M292" s="20" t="s">
        <v>68</v>
      </c>
      <c r="N292" s="20" t="s">
        <v>72</v>
      </c>
      <c r="O292" s="20" t="s">
        <v>44</v>
      </c>
      <c r="P292" s="15">
        <f t="shared" si="1"/>
        <v>9</v>
      </c>
    </row>
    <row r="293">
      <c r="A293" s="25">
        <v>20156.0</v>
      </c>
      <c r="B293" s="26">
        <v>45923.0</v>
      </c>
      <c r="C293" s="25" t="s">
        <v>89</v>
      </c>
      <c r="D293" s="25" t="s">
        <v>46</v>
      </c>
      <c r="E293" s="25" t="s">
        <v>26</v>
      </c>
      <c r="F293" s="25" t="s">
        <v>74</v>
      </c>
      <c r="G293" s="25">
        <v>4.0</v>
      </c>
      <c r="H293" s="28">
        <v>401.0</v>
      </c>
      <c r="I293" s="28">
        <v>1604.0</v>
      </c>
      <c r="J293" s="25">
        <v>0.0</v>
      </c>
      <c r="K293" s="28">
        <v>0.0</v>
      </c>
      <c r="L293" s="28">
        <v>1604.0</v>
      </c>
      <c r="M293" s="25" t="s">
        <v>87</v>
      </c>
      <c r="N293" s="25" t="s">
        <v>50</v>
      </c>
      <c r="O293" s="25" t="s">
        <v>57</v>
      </c>
      <c r="P293" s="15">
        <f t="shared" si="1"/>
        <v>9</v>
      </c>
    </row>
    <row r="294">
      <c r="A294" s="20">
        <v>20398.0</v>
      </c>
      <c r="B294" s="26">
        <v>45923.0</v>
      </c>
      <c r="C294" s="20" t="s">
        <v>89</v>
      </c>
      <c r="D294" s="20" t="s">
        <v>46</v>
      </c>
      <c r="E294" s="20" t="s">
        <v>77</v>
      </c>
      <c r="F294" s="20" t="s">
        <v>90</v>
      </c>
      <c r="G294" s="20">
        <v>13.0</v>
      </c>
      <c r="H294" s="24">
        <v>5125.0</v>
      </c>
      <c r="I294" s="24">
        <v>66625.0</v>
      </c>
      <c r="J294" s="20">
        <v>15.0</v>
      </c>
      <c r="K294" s="24">
        <v>9994.0</v>
      </c>
      <c r="L294" s="24">
        <v>56631.0</v>
      </c>
      <c r="M294" s="20" t="s">
        <v>81</v>
      </c>
      <c r="N294" s="20" t="s">
        <v>72</v>
      </c>
      <c r="O294" s="20" t="s">
        <v>69</v>
      </c>
      <c r="P294" s="15">
        <f t="shared" si="1"/>
        <v>9</v>
      </c>
    </row>
    <row r="295">
      <c r="A295" s="34">
        <v>20315.0</v>
      </c>
      <c r="B295" s="26">
        <v>45924.0</v>
      </c>
      <c r="C295" s="34" t="s">
        <v>51</v>
      </c>
      <c r="D295" s="34" t="s">
        <v>52</v>
      </c>
      <c r="E295" s="34" t="s">
        <v>47</v>
      </c>
      <c r="F295" s="34" t="s">
        <v>91</v>
      </c>
      <c r="G295" s="34">
        <v>1.0</v>
      </c>
      <c r="H295" s="35">
        <v>1356.0</v>
      </c>
      <c r="I295" s="35">
        <v>1356.0</v>
      </c>
      <c r="J295" s="34">
        <v>0.0</v>
      </c>
      <c r="K295" s="35">
        <v>0.0</v>
      </c>
      <c r="L295" s="35">
        <v>1356.0</v>
      </c>
      <c r="M295" s="34" t="s">
        <v>71</v>
      </c>
      <c r="N295" s="34" t="s">
        <v>43</v>
      </c>
      <c r="O295" s="34" t="s">
        <v>69</v>
      </c>
      <c r="P295" s="15">
        <f t="shared" si="1"/>
        <v>9</v>
      </c>
    </row>
    <row r="296">
      <c r="A296" s="20">
        <v>20304.0</v>
      </c>
      <c r="B296" s="26">
        <v>45925.0</v>
      </c>
      <c r="C296" s="20" t="s">
        <v>24</v>
      </c>
      <c r="D296" s="20" t="s">
        <v>52</v>
      </c>
      <c r="E296" s="20" t="s">
        <v>26</v>
      </c>
      <c r="F296" s="20" t="s">
        <v>111</v>
      </c>
      <c r="G296" s="20">
        <v>3.0</v>
      </c>
      <c r="H296" s="24">
        <v>271.0</v>
      </c>
      <c r="I296" s="24">
        <v>813.0</v>
      </c>
      <c r="J296" s="20">
        <v>0.0</v>
      </c>
      <c r="K296" s="24">
        <v>0.0</v>
      </c>
      <c r="L296" s="24">
        <v>813.0</v>
      </c>
      <c r="M296" s="20" t="s">
        <v>49</v>
      </c>
      <c r="N296" s="20" t="s">
        <v>62</v>
      </c>
      <c r="O296" s="20" t="s">
        <v>44</v>
      </c>
      <c r="P296" s="15">
        <f t="shared" si="1"/>
        <v>9</v>
      </c>
    </row>
    <row r="297">
      <c r="A297" s="25">
        <v>20208.0</v>
      </c>
      <c r="B297" s="26">
        <v>45926.0</v>
      </c>
      <c r="C297" s="25" t="s">
        <v>76</v>
      </c>
      <c r="D297" s="25" t="s">
        <v>64</v>
      </c>
      <c r="E297" s="25" t="s">
        <v>77</v>
      </c>
      <c r="F297" s="25" t="s">
        <v>78</v>
      </c>
      <c r="G297" s="25">
        <v>10.0</v>
      </c>
      <c r="H297" s="28">
        <v>7578.0</v>
      </c>
      <c r="I297" s="28">
        <v>75780.0</v>
      </c>
      <c r="J297" s="25">
        <v>0.0</v>
      </c>
      <c r="K297" s="28">
        <v>0.0</v>
      </c>
      <c r="L297" s="28">
        <v>75780.0</v>
      </c>
      <c r="M297" s="25" t="s">
        <v>55</v>
      </c>
      <c r="N297" s="25" t="s">
        <v>43</v>
      </c>
      <c r="O297" s="25" t="s">
        <v>44</v>
      </c>
      <c r="P297" s="15">
        <f t="shared" si="1"/>
        <v>9</v>
      </c>
    </row>
    <row r="298">
      <c r="A298" s="20">
        <v>20186.0</v>
      </c>
      <c r="B298" s="26">
        <v>45927.0</v>
      </c>
      <c r="C298" s="20" t="s">
        <v>73</v>
      </c>
      <c r="D298" s="20" t="s">
        <v>52</v>
      </c>
      <c r="E298" s="20" t="s">
        <v>47</v>
      </c>
      <c r="F298" s="20" t="s">
        <v>67</v>
      </c>
      <c r="G298" s="20">
        <v>2.0</v>
      </c>
      <c r="H298" s="24">
        <v>1027.0</v>
      </c>
      <c r="I298" s="24">
        <v>2054.0</v>
      </c>
      <c r="J298" s="20">
        <v>10.0</v>
      </c>
      <c r="K298" s="24">
        <v>205.0</v>
      </c>
      <c r="L298" s="24">
        <v>1849.0</v>
      </c>
      <c r="M298" s="20" t="s">
        <v>87</v>
      </c>
      <c r="N298" s="20" t="s">
        <v>50</v>
      </c>
      <c r="O298" s="20" t="s">
        <v>69</v>
      </c>
      <c r="P298" s="15">
        <f t="shared" si="1"/>
        <v>9</v>
      </c>
    </row>
    <row r="299">
      <c r="A299" s="34">
        <v>20281.0</v>
      </c>
      <c r="B299" s="26">
        <v>45927.0</v>
      </c>
      <c r="C299" s="34" t="s">
        <v>63</v>
      </c>
      <c r="D299" s="34" t="s">
        <v>64</v>
      </c>
      <c r="E299" s="34" t="s">
        <v>47</v>
      </c>
      <c r="F299" s="34" t="s">
        <v>91</v>
      </c>
      <c r="G299" s="34">
        <v>7.0</v>
      </c>
      <c r="H299" s="35">
        <v>1608.0</v>
      </c>
      <c r="I299" s="35">
        <v>11256.0</v>
      </c>
      <c r="J299" s="34">
        <v>10.0</v>
      </c>
      <c r="K299" s="35">
        <v>1126.0</v>
      </c>
      <c r="L299" s="35">
        <v>10130.0</v>
      </c>
      <c r="M299" s="34" t="s">
        <v>87</v>
      </c>
      <c r="N299" s="34" t="s">
        <v>72</v>
      </c>
      <c r="O299" s="34" t="s">
        <v>44</v>
      </c>
      <c r="P299" s="15">
        <f t="shared" si="1"/>
        <v>9</v>
      </c>
    </row>
    <row r="300">
      <c r="A300" s="29">
        <v>20011.0</v>
      </c>
      <c r="B300" s="26">
        <v>45928.0</v>
      </c>
      <c r="C300" s="29" t="s">
        <v>66</v>
      </c>
      <c r="D300" s="29" t="s">
        <v>46</v>
      </c>
      <c r="E300" s="29" t="s">
        <v>47</v>
      </c>
      <c r="F300" s="29" t="s">
        <v>91</v>
      </c>
      <c r="G300" s="29">
        <v>11.0</v>
      </c>
      <c r="H300" s="30">
        <v>1291.0</v>
      </c>
      <c r="I300" s="30">
        <v>14201.0</v>
      </c>
      <c r="J300" s="29">
        <v>20.0</v>
      </c>
      <c r="K300" s="30">
        <v>2840.0</v>
      </c>
      <c r="L300" s="30">
        <v>11361.0</v>
      </c>
      <c r="M300" s="29" t="s">
        <v>55</v>
      </c>
      <c r="N300" s="29" t="s">
        <v>62</v>
      </c>
      <c r="O300" s="29" t="s">
        <v>44</v>
      </c>
      <c r="P300" s="15">
        <f t="shared" si="1"/>
        <v>9</v>
      </c>
    </row>
    <row r="301">
      <c r="A301" s="25">
        <v>20112.0</v>
      </c>
      <c r="B301" s="26">
        <v>45929.0</v>
      </c>
      <c r="C301" s="25" t="s">
        <v>99</v>
      </c>
      <c r="D301" s="25" t="s">
        <v>64</v>
      </c>
      <c r="E301" s="25" t="s">
        <v>59</v>
      </c>
      <c r="F301" s="25" t="s">
        <v>86</v>
      </c>
      <c r="G301" s="25">
        <v>8.0</v>
      </c>
      <c r="H301" s="28">
        <v>219.0</v>
      </c>
      <c r="I301" s="28">
        <v>1752.0</v>
      </c>
      <c r="J301" s="25">
        <v>20.0</v>
      </c>
      <c r="K301" s="28">
        <v>350.0</v>
      </c>
      <c r="L301" s="28">
        <v>1402.0</v>
      </c>
      <c r="M301" s="25" t="s">
        <v>49</v>
      </c>
      <c r="N301" s="25" t="s">
        <v>56</v>
      </c>
      <c r="O301" s="25" t="s">
        <v>69</v>
      </c>
      <c r="P301" s="15">
        <f t="shared" si="1"/>
        <v>9</v>
      </c>
    </row>
    <row r="302">
      <c r="A302" s="20">
        <v>20270.0</v>
      </c>
      <c r="B302" s="26">
        <v>45929.0</v>
      </c>
      <c r="C302" s="20" t="s">
        <v>63</v>
      </c>
      <c r="D302" s="20" t="s">
        <v>64</v>
      </c>
      <c r="E302" s="20" t="s">
        <v>59</v>
      </c>
      <c r="F302" s="20" t="s">
        <v>86</v>
      </c>
      <c r="G302" s="20">
        <v>1.0</v>
      </c>
      <c r="H302" s="24">
        <v>107.0</v>
      </c>
      <c r="I302" s="24">
        <v>107.0</v>
      </c>
      <c r="J302" s="20">
        <v>0.0</v>
      </c>
      <c r="K302" s="24">
        <v>0.0</v>
      </c>
      <c r="L302" s="24">
        <v>107.0</v>
      </c>
      <c r="M302" s="20" t="s">
        <v>87</v>
      </c>
      <c r="N302" s="20" t="s">
        <v>43</v>
      </c>
      <c r="O302" s="20" t="s">
        <v>57</v>
      </c>
      <c r="P302" s="15">
        <f t="shared" si="1"/>
        <v>9</v>
      </c>
    </row>
    <row r="303">
      <c r="A303" s="34">
        <v>20325.0</v>
      </c>
      <c r="B303" s="26">
        <v>45929.0</v>
      </c>
      <c r="C303" s="34" t="s">
        <v>99</v>
      </c>
      <c r="D303" s="34" t="s">
        <v>64</v>
      </c>
      <c r="E303" s="34" t="s">
        <v>26</v>
      </c>
      <c r="F303" s="34" t="s">
        <v>94</v>
      </c>
      <c r="G303" s="34">
        <v>1.0</v>
      </c>
      <c r="H303" s="35">
        <v>374.0</v>
      </c>
      <c r="I303" s="35">
        <v>374.0</v>
      </c>
      <c r="J303" s="34">
        <v>0.0</v>
      </c>
      <c r="K303" s="35">
        <v>0.0</v>
      </c>
      <c r="L303" s="35">
        <v>374.0</v>
      </c>
      <c r="M303" s="34" t="s">
        <v>71</v>
      </c>
      <c r="N303" s="34" t="s">
        <v>43</v>
      </c>
      <c r="O303" s="34" t="s">
        <v>57</v>
      </c>
      <c r="P303" s="15">
        <f t="shared" si="1"/>
        <v>9</v>
      </c>
    </row>
    <row r="304">
      <c r="A304" s="20">
        <v>20056.0</v>
      </c>
      <c r="B304" s="26">
        <v>45930.0</v>
      </c>
      <c r="C304" s="20" t="s">
        <v>24</v>
      </c>
      <c r="D304" s="20" t="s">
        <v>52</v>
      </c>
      <c r="E304" s="20" t="s">
        <v>53</v>
      </c>
      <c r="F304" s="20" t="s">
        <v>102</v>
      </c>
      <c r="G304" s="20">
        <v>9.0</v>
      </c>
      <c r="H304" s="24">
        <v>1159.0</v>
      </c>
      <c r="I304" s="24">
        <v>10431.0</v>
      </c>
      <c r="J304" s="20">
        <v>5.0</v>
      </c>
      <c r="K304" s="24">
        <v>522.0</v>
      </c>
      <c r="L304" s="24">
        <v>9909.0</v>
      </c>
      <c r="M304" s="20" t="s">
        <v>55</v>
      </c>
      <c r="N304" s="20" t="s">
        <v>43</v>
      </c>
      <c r="O304" s="20" t="s">
        <v>57</v>
      </c>
      <c r="P304" s="15">
        <f t="shared" si="1"/>
        <v>9</v>
      </c>
    </row>
    <row r="305">
      <c r="A305" s="25">
        <v>20192.0</v>
      </c>
      <c r="B305" s="26">
        <v>45930.0</v>
      </c>
      <c r="C305" s="25" t="s">
        <v>51</v>
      </c>
      <c r="D305" s="25" t="s">
        <v>52</v>
      </c>
      <c r="E305" s="25" t="s">
        <v>77</v>
      </c>
      <c r="F305" s="25" t="s">
        <v>78</v>
      </c>
      <c r="G305" s="25">
        <v>8.0</v>
      </c>
      <c r="H305" s="28">
        <v>2170.0</v>
      </c>
      <c r="I305" s="28">
        <v>17360.0</v>
      </c>
      <c r="J305" s="25">
        <v>0.0</v>
      </c>
      <c r="K305" s="28">
        <v>0.0</v>
      </c>
      <c r="L305" s="28">
        <v>17360.0</v>
      </c>
      <c r="M305" s="25" t="s">
        <v>61</v>
      </c>
      <c r="N305" s="25" t="s">
        <v>56</v>
      </c>
      <c r="O305" s="25" t="s">
        <v>69</v>
      </c>
      <c r="P305" s="15">
        <f t="shared" si="1"/>
        <v>9</v>
      </c>
    </row>
    <row r="306">
      <c r="A306" s="29">
        <v>20179.0</v>
      </c>
      <c r="B306" s="26">
        <v>45931.0</v>
      </c>
      <c r="C306" s="29" t="s">
        <v>93</v>
      </c>
      <c r="D306" s="29" t="s">
        <v>25</v>
      </c>
      <c r="E306" s="29" t="s">
        <v>77</v>
      </c>
      <c r="F306" s="29" t="s">
        <v>110</v>
      </c>
      <c r="G306" s="29">
        <v>15.0</v>
      </c>
      <c r="H306" s="30">
        <v>8433.0</v>
      </c>
      <c r="I306" s="30">
        <v>126495.0</v>
      </c>
      <c r="J306" s="29">
        <v>0.0</v>
      </c>
      <c r="K306" s="30">
        <v>0.0</v>
      </c>
      <c r="L306" s="30">
        <v>126495.0</v>
      </c>
      <c r="M306" s="29" t="s">
        <v>96</v>
      </c>
      <c r="N306" s="29" t="s">
        <v>62</v>
      </c>
      <c r="O306" s="29" t="s">
        <v>69</v>
      </c>
      <c r="P306" s="15">
        <f t="shared" si="1"/>
        <v>10</v>
      </c>
    </row>
    <row r="307">
      <c r="A307" s="34">
        <v>20201.0</v>
      </c>
      <c r="B307" s="26">
        <v>45931.0</v>
      </c>
      <c r="C307" s="34" t="s">
        <v>45</v>
      </c>
      <c r="D307" s="34" t="s">
        <v>46</v>
      </c>
      <c r="E307" s="34" t="s">
        <v>53</v>
      </c>
      <c r="F307" s="34" t="s">
        <v>95</v>
      </c>
      <c r="G307" s="34">
        <v>6.0</v>
      </c>
      <c r="H307" s="35">
        <v>1317.0</v>
      </c>
      <c r="I307" s="35">
        <v>7902.0</v>
      </c>
      <c r="J307" s="34">
        <v>20.0</v>
      </c>
      <c r="K307" s="35">
        <v>1580.0</v>
      </c>
      <c r="L307" s="35">
        <v>6322.0</v>
      </c>
      <c r="M307" s="34" t="s">
        <v>42</v>
      </c>
      <c r="N307" s="34" t="s">
        <v>72</v>
      </c>
      <c r="O307" s="34" t="s">
        <v>69</v>
      </c>
      <c r="P307" s="15">
        <f t="shared" si="1"/>
        <v>10</v>
      </c>
    </row>
    <row r="308">
      <c r="A308" s="20">
        <v>20368.0</v>
      </c>
      <c r="B308" s="26">
        <v>45931.0</v>
      </c>
      <c r="C308" s="20" t="s">
        <v>63</v>
      </c>
      <c r="D308" s="20" t="s">
        <v>64</v>
      </c>
      <c r="E308" s="20" t="s">
        <v>77</v>
      </c>
      <c r="F308" s="20" t="s">
        <v>105</v>
      </c>
      <c r="G308" s="20">
        <v>7.0</v>
      </c>
      <c r="H308" s="24">
        <v>6094.0</v>
      </c>
      <c r="I308" s="24">
        <v>42658.0</v>
      </c>
      <c r="J308" s="20">
        <v>0.0</v>
      </c>
      <c r="K308" s="24">
        <v>0.0</v>
      </c>
      <c r="L308" s="24">
        <v>42658.0</v>
      </c>
      <c r="M308" s="20" t="s">
        <v>87</v>
      </c>
      <c r="N308" s="20" t="s">
        <v>56</v>
      </c>
      <c r="O308" s="20" t="s">
        <v>69</v>
      </c>
      <c r="P308" s="15">
        <f t="shared" si="1"/>
        <v>10</v>
      </c>
    </row>
    <row r="309">
      <c r="A309" s="34">
        <v>20259.0</v>
      </c>
      <c r="B309" s="26">
        <v>45932.0</v>
      </c>
      <c r="C309" s="34" t="s">
        <v>76</v>
      </c>
      <c r="D309" s="34" t="s">
        <v>64</v>
      </c>
      <c r="E309" s="34" t="s">
        <v>53</v>
      </c>
      <c r="F309" s="34" t="s">
        <v>102</v>
      </c>
      <c r="G309" s="34">
        <v>5.0</v>
      </c>
      <c r="H309" s="35">
        <v>715.0</v>
      </c>
      <c r="I309" s="35">
        <v>3575.0</v>
      </c>
      <c r="J309" s="34">
        <v>0.0</v>
      </c>
      <c r="K309" s="35">
        <v>0.0</v>
      </c>
      <c r="L309" s="35">
        <v>3575.0</v>
      </c>
      <c r="M309" s="34" t="s">
        <v>61</v>
      </c>
      <c r="N309" s="34" t="s">
        <v>56</v>
      </c>
      <c r="O309" s="34" t="s">
        <v>57</v>
      </c>
      <c r="P309" s="15">
        <f t="shared" si="1"/>
        <v>10</v>
      </c>
    </row>
    <row r="310">
      <c r="A310" s="29">
        <v>20305.0</v>
      </c>
      <c r="B310" s="26">
        <v>45932.0</v>
      </c>
      <c r="C310" s="29" t="s">
        <v>45</v>
      </c>
      <c r="D310" s="29" t="s">
        <v>46</v>
      </c>
      <c r="E310" s="29" t="s">
        <v>59</v>
      </c>
      <c r="F310" s="29" t="s">
        <v>85</v>
      </c>
      <c r="G310" s="29">
        <v>7.0</v>
      </c>
      <c r="H310" s="30">
        <v>302.0</v>
      </c>
      <c r="I310" s="30">
        <v>2114.0</v>
      </c>
      <c r="J310" s="29">
        <v>0.0</v>
      </c>
      <c r="K310" s="30">
        <v>0.0</v>
      </c>
      <c r="L310" s="30">
        <v>2114.0</v>
      </c>
      <c r="M310" s="29" t="s">
        <v>96</v>
      </c>
      <c r="N310" s="29" t="s">
        <v>43</v>
      </c>
      <c r="O310" s="29" t="s">
        <v>69</v>
      </c>
      <c r="P310" s="15">
        <f t="shared" si="1"/>
        <v>10</v>
      </c>
    </row>
    <row r="311">
      <c r="A311" s="25">
        <v>20176.0</v>
      </c>
      <c r="B311" s="26">
        <v>45933.0</v>
      </c>
      <c r="C311" s="25" t="s">
        <v>66</v>
      </c>
      <c r="D311" s="25" t="s">
        <v>46</v>
      </c>
      <c r="E311" s="25" t="s">
        <v>47</v>
      </c>
      <c r="F311" s="25" t="s">
        <v>67</v>
      </c>
      <c r="G311" s="25">
        <v>3.0</v>
      </c>
      <c r="H311" s="28">
        <v>1179.0</v>
      </c>
      <c r="I311" s="28">
        <v>3537.0</v>
      </c>
      <c r="J311" s="25">
        <v>0.0</v>
      </c>
      <c r="K311" s="28">
        <v>0.0</v>
      </c>
      <c r="L311" s="28">
        <v>3537.0</v>
      </c>
      <c r="M311" s="25" t="s">
        <v>81</v>
      </c>
      <c r="N311" s="25" t="s">
        <v>56</v>
      </c>
      <c r="O311" s="25" t="s">
        <v>69</v>
      </c>
      <c r="P311" s="15">
        <f t="shared" si="1"/>
        <v>10</v>
      </c>
    </row>
    <row r="312">
      <c r="A312" s="29">
        <v>20191.0</v>
      </c>
      <c r="B312" s="26">
        <v>45933.0</v>
      </c>
      <c r="C312" s="29" t="s">
        <v>51</v>
      </c>
      <c r="D312" s="29" t="s">
        <v>52</v>
      </c>
      <c r="E312" s="29" t="s">
        <v>47</v>
      </c>
      <c r="F312" s="29" t="s">
        <v>65</v>
      </c>
      <c r="G312" s="29">
        <v>12.0</v>
      </c>
      <c r="H312" s="30">
        <v>292.0</v>
      </c>
      <c r="I312" s="30">
        <v>3504.0</v>
      </c>
      <c r="J312" s="29">
        <v>0.0</v>
      </c>
      <c r="K312" s="30">
        <v>0.0</v>
      </c>
      <c r="L312" s="30">
        <v>3504.0</v>
      </c>
      <c r="M312" s="29" t="s">
        <v>42</v>
      </c>
      <c r="N312" s="29" t="s">
        <v>56</v>
      </c>
      <c r="O312" s="29" t="s">
        <v>44</v>
      </c>
      <c r="P312" s="15">
        <f t="shared" si="1"/>
        <v>10</v>
      </c>
    </row>
    <row r="313">
      <c r="A313" s="34">
        <v>20239.0</v>
      </c>
      <c r="B313" s="26">
        <v>45933.0</v>
      </c>
      <c r="C313" s="34" t="s">
        <v>89</v>
      </c>
      <c r="D313" s="34" t="s">
        <v>46</v>
      </c>
      <c r="E313" s="34" t="s">
        <v>77</v>
      </c>
      <c r="F313" s="34" t="s">
        <v>110</v>
      </c>
      <c r="G313" s="34">
        <v>10.0</v>
      </c>
      <c r="H313" s="35">
        <v>5403.0</v>
      </c>
      <c r="I313" s="35">
        <v>54030.0</v>
      </c>
      <c r="J313" s="34">
        <v>0.0</v>
      </c>
      <c r="K313" s="35">
        <v>0.0</v>
      </c>
      <c r="L313" s="35">
        <v>54030.0</v>
      </c>
      <c r="M313" s="34" t="s">
        <v>87</v>
      </c>
      <c r="N313" s="34" t="s">
        <v>72</v>
      </c>
      <c r="O313" s="34" t="s">
        <v>57</v>
      </c>
      <c r="P313" s="15">
        <f t="shared" si="1"/>
        <v>10</v>
      </c>
    </row>
    <row r="314">
      <c r="A314" s="20">
        <v>20364.0</v>
      </c>
      <c r="B314" s="26">
        <v>45933.0</v>
      </c>
      <c r="C314" s="20" t="s">
        <v>24</v>
      </c>
      <c r="D314" s="20" t="s">
        <v>52</v>
      </c>
      <c r="E314" s="20" t="s">
        <v>26</v>
      </c>
      <c r="F314" s="20" t="s">
        <v>94</v>
      </c>
      <c r="G314" s="20">
        <v>11.0</v>
      </c>
      <c r="H314" s="24">
        <v>277.0</v>
      </c>
      <c r="I314" s="24">
        <v>3047.0</v>
      </c>
      <c r="J314" s="20">
        <v>0.0</v>
      </c>
      <c r="K314" s="24">
        <v>0.0</v>
      </c>
      <c r="L314" s="24">
        <v>3047.0</v>
      </c>
      <c r="M314" s="20" t="s">
        <v>71</v>
      </c>
      <c r="N314" s="20" t="s">
        <v>62</v>
      </c>
      <c r="O314" s="20" t="s">
        <v>69</v>
      </c>
      <c r="P314" s="15">
        <f t="shared" si="1"/>
        <v>10</v>
      </c>
    </row>
    <row r="315">
      <c r="A315" s="25">
        <v>20046.0</v>
      </c>
      <c r="B315" s="26">
        <v>45934.0</v>
      </c>
      <c r="C315" s="25" t="s">
        <v>92</v>
      </c>
      <c r="D315" s="25" t="s">
        <v>25</v>
      </c>
      <c r="E315" s="25" t="s">
        <v>77</v>
      </c>
      <c r="F315" s="25" t="s">
        <v>78</v>
      </c>
      <c r="G315" s="25">
        <v>4.0</v>
      </c>
      <c r="H315" s="28">
        <v>6584.0</v>
      </c>
      <c r="I315" s="28">
        <v>26336.0</v>
      </c>
      <c r="J315" s="25">
        <v>0.0</v>
      </c>
      <c r="K315" s="28">
        <v>0.0</v>
      </c>
      <c r="L315" s="28">
        <v>26336.0</v>
      </c>
      <c r="M315" s="25" t="s">
        <v>61</v>
      </c>
      <c r="N315" s="25" t="s">
        <v>43</v>
      </c>
      <c r="O315" s="25" t="s">
        <v>44</v>
      </c>
      <c r="P315" s="15">
        <f t="shared" si="1"/>
        <v>10</v>
      </c>
    </row>
    <row r="316">
      <c r="A316" s="20">
        <v>20362.0</v>
      </c>
      <c r="B316" s="26">
        <v>45934.0</v>
      </c>
      <c r="C316" s="20" t="s">
        <v>89</v>
      </c>
      <c r="D316" s="20" t="s">
        <v>46</v>
      </c>
      <c r="E316" s="20" t="s">
        <v>26</v>
      </c>
      <c r="F316" s="20" t="s">
        <v>70</v>
      </c>
      <c r="G316" s="20">
        <v>14.0</v>
      </c>
      <c r="H316" s="24">
        <v>503.0</v>
      </c>
      <c r="I316" s="24">
        <v>7042.0</v>
      </c>
      <c r="J316" s="20">
        <v>0.0</v>
      </c>
      <c r="K316" s="24">
        <v>0.0</v>
      </c>
      <c r="L316" s="24">
        <v>7042.0</v>
      </c>
      <c r="M316" s="20" t="s">
        <v>96</v>
      </c>
      <c r="N316" s="20" t="s">
        <v>50</v>
      </c>
      <c r="O316" s="20" t="s">
        <v>44</v>
      </c>
      <c r="P316" s="15">
        <f t="shared" si="1"/>
        <v>10</v>
      </c>
    </row>
    <row r="317">
      <c r="A317" s="34">
        <v>20047.0</v>
      </c>
      <c r="B317" s="26">
        <v>45935.0</v>
      </c>
      <c r="C317" s="34" t="s">
        <v>73</v>
      </c>
      <c r="D317" s="34" t="s">
        <v>52</v>
      </c>
      <c r="E317" s="34" t="s">
        <v>59</v>
      </c>
      <c r="F317" s="34" t="s">
        <v>79</v>
      </c>
      <c r="G317" s="34">
        <v>4.0</v>
      </c>
      <c r="H317" s="35">
        <v>359.0</v>
      </c>
      <c r="I317" s="35">
        <v>1436.0</v>
      </c>
      <c r="J317" s="34">
        <v>20.0</v>
      </c>
      <c r="K317" s="35">
        <v>287.0</v>
      </c>
      <c r="L317" s="35">
        <v>1149.0</v>
      </c>
      <c r="M317" s="34" t="s">
        <v>49</v>
      </c>
      <c r="N317" s="34" t="s">
        <v>43</v>
      </c>
      <c r="O317" s="34" t="s">
        <v>44</v>
      </c>
      <c r="P317" s="15">
        <f t="shared" si="1"/>
        <v>10</v>
      </c>
    </row>
    <row r="318">
      <c r="A318" s="20">
        <v>20354.0</v>
      </c>
      <c r="B318" s="26">
        <v>45935.0</v>
      </c>
      <c r="C318" s="20" t="s">
        <v>93</v>
      </c>
      <c r="D318" s="20" t="s">
        <v>25</v>
      </c>
      <c r="E318" s="20" t="s">
        <v>53</v>
      </c>
      <c r="F318" s="20" t="s">
        <v>48</v>
      </c>
      <c r="G318" s="20">
        <v>2.0</v>
      </c>
      <c r="H318" s="24">
        <v>1624.0</v>
      </c>
      <c r="I318" s="24">
        <v>3248.0</v>
      </c>
      <c r="J318" s="20">
        <v>0.0</v>
      </c>
      <c r="K318" s="24">
        <v>0.0</v>
      </c>
      <c r="L318" s="24">
        <v>3248.0</v>
      </c>
      <c r="M318" s="20" t="s">
        <v>87</v>
      </c>
      <c r="N318" s="20" t="s">
        <v>72</v>
      </c>
      <c r="O318" s="20" t="s">
        <v>57</v>
      </c>
      <c r="P318" s="15">
        <f t="shared" si="1"/>
        <v>10</v>
      </c>
    </row>
    <row r="319">
      <c r="A319" s="34">
        <v>20371.0</v>
      </c>
      <c r="B319" s="26">
        <v>45939.0</v>
      </c>
      <c r="C319" s="34" t="s">
        <v>92</v>
      </c>
      <c r="D319" s="34" t="s">
        <v>25</v>
      </c>
      <c r="E319" s="34" t="s">
        <v>53</v>
      </c>
      <c r="F319" s="34" t="s">
        <v>98</v>
      </c>
      <c r="G319" s="34">
        <v>2.0</v>
      </c>
      <c r="H319" s="35">
        <v>703.0</v>
      </c>
      <c r="I319" s="35">
        <v>1406.0</v>
      </c>
      <c r="J319" s="34">
        <v>0.0</v>
      </c>
      <c r="K319" s="35">
        <v>0.0</v>
      </c>
      <c r="L319" s="35">
        <v>1406.0</v>
      </c>
      <c r="M319" s="34" t="s">
        <v>55</v>
      </c>
      <c r="N319" s="34" t="s">
        <v>50</v>
      </c>
      <c r="O319" s="34" t="s">
        <v>57</v>
      </c>
      <c r="P319" s="15">
        <f t="shared" si="1"/>
        <v>10</v>
      </c>
    </row>
    <row r="320">
      <c r="A320" s="29">
        <v>20005.0</v>
      </c>
      <c r="B320" s="26">
        <v>45940.0</v>
      </c>
      <c r="C320" s="29" t="s">
        <v>89</v>
      </c>
      <c r="D320" s="29" t="s">
        <v>46</v>
      </c>
      <c r="E320" s="29" t="s">
        <v>47</v>
      </c>
      <c r="F320" s="29" t="s">
        <v>67</v>
      </c>
      <c r="G320" s="29">
        <v>10.0</v>
      </c>
      <c r="H320" s="30">
        <v>1132.0</v>
      </c>
      <c r="I320" s="30">
        <v>11320.0</v>
      </c>
      <c r="J320" s="29">
        <v>20.0</v>
      </c>
      <c r="K320" s="30">
        <v>2264.0</v>
      </c>
      <c r="L320" s="30">
        <v>9056.0</v>
      </c>
      <c r="M320" s="29" t="s">
        <v>96</v>
      </c>
      <c r="N320" s="29" t="s">
        <v>62</v>
      </c>
      <c r="O320" s="29" t="s">
        <v>69</v>
      </c>
      <c r="P320" s="15">
        <f t="shared" si="1"/>
        <v>10</v>
      </c>
    </row>
    <row r="321">
      <c r="A321" s="25">
        <v>20210.0</v>
      </c>
      <c r="B321" s="26">
        <v>45940.0</v>
      </c>
      <c r="C321" s="25" t="s">
        <v>82</v>
      </c>
      <c r="D321" s="25" t="s">
        <v>52</v>
      </c>
      <c r="E321" s="25" t="s">
        <v>26</v>
      </c>
      <c r="F321" s="25" t="s">
        <v>94</v>
      </c>
      <c r="G321" s="25">
        <v>1.0</v>
      </c>
      <c r="H321" s="28">
        <v>295.0</v>
      </c>
      <c r="I321" s="28">
        <v>295.0</v>
      </c>
      <c r="J321" s="25">
        <v>10.0</v>
      </c>
      <c r="K321" s="28">
        <v>30.0</v>
      </c>
      <c r="L321" s="28">
        <v>265.0</v>
      </c>
      <c r="M321" s="25" t="s">
        <v>71</v>
      </c>
      <c r="N321" s="25" t="s">
        <v>56</v>
      </c>
      <c r="O321" s="25" t="s">
        <v>69</v>
      </c>
      <c r="P321" s="15">
        <f t="shared" si="1"/>
        <v>10</v>
      </c>
    </row>
    <row r="322">
      <c r="A322" s="20">
        <v>20100.0</v>
      </c>
      <c r="B322" s="26">
        <v>45941.0</v>
      </c>
      <c r="C322" s="20" t="s">
        <v>99</v>
      </c>
      <c r="D322" s="20" t="s">
        <v>64</v>
      </c>
      <c r="E322" s="20" t="s">
        <v>47</v>
      </c>
      <c r="F322" s="20" t="s">
        <v>65</v>
      </c>
      <c r="G322" s="20">
        <v>14.0</v>
      </c>
      <c r="H322" s="24">
        <v>210.0</v>
      </c>
      <c r="I322" s="24">
        <v>2940.0</v>
      </c>
      <c r="J322" s="20">
        <v>0.0</v>
      </c>
      <c r="K322" s="24">
        <v>0.0</v>
      </c>
      <c r="L322" s="24">
        <v>2940.0</v>
      </c>
      <c r="M322" s="20" t="s">
        <v>68</v>
      </c>
      <c r="N322" s="20" t="s">
        <v>50</v>
      </c>
      <c r="O322" s="20" t="s">
        <v>57</v>
      </c>
      <c r="P322" s="15">
        <f t="shared" si="1"/>
        <v>10</v>
      </c>
    </row>
    <row r="323">
      <c r="A323" s="34">
        <v>20255.0</v>
      </c>
      <c r="B323" s="26">
        <v>45941.0</v>
      </c>
      <c r="C323" s="34" t="s">
        <v>89</v>
      </c>
      <c r="D323" s="34" t="s">
        <v>46</v>
      </c>
      <c r="E323" s="34" t="s">
        <v>26</v>
      </c>
      <c r="F323" s="34" t="s">
        <v>94</v>
      </c>
      <c r="G323" s="34">
        <v>15.0</v>
      </c>
      <c r="H323" s="35">
        <v>428.0</v>
      </c>
      <c r="I323" s="35">
        <v>6420.0</v>
      </c>
      <c r="J323" s="34">
        <v>0.0</v>
      </c>
      <c r="K323" s="35">
        <v>0.0</v>
      </c>
      <c r="L323" s="35">
        <v>6420.0</v>
      </c>
      <c r="M323" s="34" t="s">
        <v>61</v>
      </c>
      <c r="N323" s="34" t="s">
        <v>72</v>
      </c>
      <c r="O323" s="34" t="s">
        <v>57</v>
      </c>
      <c r="P323" s="15">
        <f t="shared" si="1"/>
        <v>10</v>
      </c>
    </row>
    <row r="324">
      <c r="A324" s="20">
        <v>20108.0</v>
      </c>
      <c r="B324" s="26">
        <v>45942.0</v>
      </c>
      <c r="C324" s="20" t="s">
        <v>93</v>
      </c>
      <c r="D324" s="20" t="s">
        <v>25</v>
      </c>
      <c r="E324" s="20" t="s">
        <v>47</v>
      </c>
      <c r="F324" s="20" t="s">
        <v>103</v>
      </c>
      <c r="G324" s="20">
        <v>9.0</v>
      </c>
      <c r="H324" s="24">
        <v>1647.0</v>
      </c>
      <c r="I324" s="24">
        <v>14823.0</v>
      </c>
      <c r="J324" s="20">
        <v>20.0</v>
      </c>
      <c r="K324" s="24">
        <v>2965.0</v>
      </c>
      <c r="L324" s="24">
        <v>11858.0</v>
      </c>
      <c r="M324" s="20" t="s">
        <v>61</v>
      </c>
      <c r="N324" s="20" t="s">
        <v>62</v>
      </c>
      <c r="O324" s="20" t="s">
        <v>44</v>
      </c>
      <c r="P324" s="15">
        <f t="shared" si="1"/>
        <v>10</v>
      </c>
    </row>
    <row r="325">
      <c r="A325" s="34">
        <v>20341.0</v>
      </c>
      <c r="B325" s="26">
        <v>45943.0</v>
      </c>
      <c r="C325" s="34" t="s">
        <v>93</v>
      </c>
      <c r="D325" s="34" t="s">
        <v>25</v>
      </c>
      <c r="E325" s="34" t="s">
        <v>26</v>
      </c>
      <c r="F325" s="34" t="s">
        <v>94</v>
      </c>
      <c r="G325" s="34">
        <v>15.0</v>
      </c>
      <c r="H325" s="35">
        <v>280.0</v>
      </c>
      <c r="I325" s="35">
        <v>4200.0</v>
      </c>
      <c r="J325" s="34">
        <v>0.0</v>
      </c>
      <c r="K325" s="35">
        <v>0.0</v>
      </c>
      <c r="L325" s="35">
        <v>4200.0</v>
      </c>
      <c r="M325" s="34" t="s">
        <v>42</v>
      </c>
      <c r="N325" s="34" t="s">
        <v>72</v>
      </c>
      <c r="O325" s="34" t="s">
        <v>69</v>
      </c>
      <c r="P325" s="15">
        <f t="shared" si="1"/>
        <v>10</v>
      </c>
    </row>
    <row r="326">
      <c r="A326" s="29">
        <v>20165.0</v>
      </c>
      <c r="B326" s="26">
        <v>45945.0</v>
      </c>
      <c r="C326" s="29" t="s">
        <v>99</v>
      </c>
      <c r="D326" s="29" t="s">
        <v>64</v>
      </c>
      <c r="E326" s="29" t="s">
        <v>53</v>
      </c>
      <c r="F326" s="29" t="s">
        <v>54</v>
      </c>
      <c r="G326" s="29">
        <v>5.0</v>
      </c>
      <c r="H326" s="30">
        <v>1331.0</v>
      </c>
      <c r="I326" s="30">
        <v>6655.0</v>
      </c>
      <c r="J326" s="29">
        <v>0.0</v>
      </c>
      <c r="K326" s="30">
        <v>0.0</v>
      </c>
      <c r="L326" s="30">
        <v>6655.0</v>
      </c>
      <c r="M326" s="29" t="s">
        <v>49</v>
      </c>
      <c r="N326" s="29" t="s">
        <v>56</v>
      </c>
      <c r="O326" s="29" t="s">
        <v>69</v>
      </c>
      <c r="P326" s="15">
        <f t="shared" si="1"/>
        <v>10</v>
      </c>
    </row>
    <row r="327">
      <c r="A327" s="34">
        <v>20285.0</v>
      </c>
      <c r="B327" s="26">
        <v>45946.0</v>
      </c>
      <c r="C327" s="34" t="s">
        <v>76</v>
      </c>
      <c r="D327" s="34" t="s">
        <v>64</v>
      </c>
      <c r="E327" s="34" t="s">
        <v>47</v>
      </c>
      <c r="F327" s="34" t="s">
        <v>65</v>
      </c>
      <c r="G327" s="34">
        <v>14.0</v>
      </c>
      <c r="H327" s="35">
        <v>2207.0</v>
      </c>
      <c r="I327" s="35">
        <v>30898.0</v>
      </c>
      <c r="J327" s="34">
        <v>0.0</v>
      </c>
      <c r="K327" s="35">
        <v>0.0</v>
      </c>
      <c r="L327" s="35">
        <v>30898.0</v>
      </c>
      <c r="M327" s="34" t="s">
        <v>71</v>
      </c>
      <c r="N327" s="34" t="s">
        <v>62</v>
      </c>
      <c r="O327" s="34" t="s">
        <v>69</v>
      </c>
      <c r="P327" s="15">
        <f t="shared" si="1"/>
        <v>10</v>
      </c>
    </row>
    <row r="328">
      <c r="A328" s="29">
        <v>20209.0</v>
      </c>
      <c r="B328" s="26">
        <v>45947.0</v>
      </c>
      <c r="C328" s="29" t="s">
        <v>63</v>
      </c>
      <c r="D328" s="29" t="s">
        <v>64</v>
      </c>
      <c r="E328" s="29" t="s">
        <v>77</v>
      </c>
      <c r="F328" s="29" t="s">
        <v>101</v>
      </c>
      <c r="G328" s="29">
        <v>11.0</v>
      </c>
      <c r="H328" s="30">
        <v>6255.0</v>
      </c>
      <c r="I328" s="30">
        <v>68805.0</v>
      </c>
      <c r="J328" s="29">
        <v>0.0</v>
      </c>
      <c r="K328" s="30">
        <v>0.0</v>
      </c>
      <c r="L328" s="30">
        <v>68805.0</v>
      </c>
      <c r="M328" s="29" t="s">
        <v>61</v>
      </c>
      <c r="N328" s="29" t="s">
        <v>43</v>
      </c>
      <c r="O328" s="29" t="s">
        <v>44</v>
      </c>
      <c r="P328" s="15">
        <f t="shared" si="1"/>
        <v>10</v>
      </c>
    </row>
    <row r="329">
      <c r="A329" s="34">
        <v>20039.0</v>
      </c>
      <c r="B329" s="26">
        <v>45949.0</v>
      </c>
      <c r="C329" s="34" t="s">
        <v>89</v>
      </c>
      <c r="D329" s="34" t="s">
        <v>46</v>
      </c>
      <c r="E329" s="34" t="s">
        <v>59</v>
      </c>
      <c r="F329" s="34" t="s">
        <v>83</v>
      </c>
      <c r="G329" s="34">
        <v>14.0</v>
      </c>
      <c r="H329" s="35">
        <v>167.0</v>
      </c>
      <c r="I329" s="35">
        <v>2338.0</v>
      </c>
      <c r="J329" s="34">
        <v>20.0</v>
      </c>
      <c r="K329" s="35">
        <v>468.0</v>
      </c>
      <c r="L329" s="35">
        <v>1870.0</v>
      </c>
      <c r="M329" s="34" t="s">
        <v>49</v>
      </c>
      <c r="N329" s="34" t="s">
        <v>56</v>
      </c>
      <c r="O329" s="34" t="s">
        <v>57</v>
      </c>
      <c r="P329" s="15">
        <f t="shared" si="1"/>
        <v>10</v>
      </c>
    </row>
    <row r="330">
      <c r="A330" s="20">
        <v>20318.0</v>
      </c>
      <c r="B330" s="26">
        <v>45950.0</v>
      </c>
      <c r="C330" s="20" t="s">
        <v>99</v>
      </c>
      <c r="D330" s="20" t="s">
        <v>64</v>
      </c>
      <c r="E330" s="20" t="s">
        <v>53</v>
      </c>
      <c r="F330" s="20" t="s">
        <v>98</v>
      </c>
      <c r="G330" s="20">
        <v>12.0</v>
      </c>
      <c r="H330" s="24">
        <v>1393.0</v>
      </c>
      <c r="I330" s="24">
        <v>16716.0</v>
      </c>
      <c r="J330" s="20">
        <v>15.0</v>
      </c>
      <c r="K330" s="24">
        <v>2507.0</v>
      </c>
      <c r="L330" s="24">
        <v>14209.0</v>
      </c>
      <c r="M330" s="20" t="s">
        <v>55</v>
      </c>
      <c r="N330" s="20" t="s">
        <v>56</v>
      </c>
      <c r="O330" s="20" t="s">
        <v>44</v>
      </c>
      <c r="P330" s="15">
        <f t="shared" si="1"/>
        <v>10</v>
      </c>
    </row>
    <row r="331">
      <c r="A331" s="34">
        <v>20149.0</v>
      </c>
      <c r="B331" s="26">
        <v>45951.0</v>
      </c>
      <c r="C331" s="34" t="s">
        <v>76</v>
      </c>
      <c r="D331" s="34" t="s">
        <v>64</v>
      </c>
      <c r="E331" s="34" t="s">
        <v>47</v>
      </c>
      <c r="F331" s="34" t="s">
        <v>67</v>
      </c>
      <c r="G331" s="34">
        <v>7.0</v>
      </c>
      <c r="H331" s="35">
        <v>663.0</v>
      </c>
      <c r="I331" s="35">
        <v>4641.0</v>
      </c>
      <c r="J331" s="34">
        <v>0.0</v>
      </c>
      <c r="K331" s="35">
        <v>0.0</v>
      </c>
      <c r="L331" s="35">
        <v>4641.0</v>
      </c>
      <c r="M331" s="34" t="s">
        <v>68</v>
      </c>
      <c r="N331" s="34" t="s">
        <v>43</v>
      </c>
      <c r="O331" s="34" t="s">
        <v>57</v>
      </c>
      <c r="P331" s="15">
        <f t="shared" si="1"/>
        <v>10</v>
      </c>
    </row>
    <row r="332">
      <c r="A332" s="20">
        <v>20402.0</v>
      </c>
      <c r="B332" s="26">
        <v>45952.0</v>
      </c>
      <c r="C332" s="20" t="s">
        <v>66</v>
      </c>
      <c r="D332" s="20" t="s">
        <v>46</v>
      </c>
      <c r="E332" s="20" t="s">
        <v>59</v>
      </c>
      <c r="F332" s="20" t="s">
        <v>86</v>
      </c>
      <c r="G332" s="20">
        <v>10.0</v>
      </c>
      <c r="H332" s="24">
        <v>447.0</v>
      </c>
      <c r="I332" s="24">
        <v>4470.0</v>
      </c>
      <c r="J332" s="20">
        <v>20.0</v>
      </c>
      <c r="K332" s="24">
        <v>894.0</v>
      </c>
      <c r="L332" s="24">
        <v>3576.0</v>
      </c>
      <c r="M332" s="20" t="s">
        <v>42</v>
      </c>
      <c r="N332" s="20" t="s">
        <v>43</v>
      </c>
      <c r="O332" s="20" t="s">
        <v>57</v>
      </c>
      <c r="P332" s="15">
        <f t="shared" si="1"/>
        <v>10</v>
      </c>
    </row>
    <row r="333">
      <c r="A333" s="25">
        <v>20416.0</v>
      </c>
      <c r="B333" s="26">
        <v>45952.0</v>
      </c>
      <c r="C333" s="25" t="s">
        <v>80</v>
      </c>
      <c r="D333" s="25" t="s">
        <v>64</v>
      </c>
      <c r="E333" s="25" t="s">
        <v>53</v>
      </c>
      <c r="F333" s="25" t="s">
        <v>95</v>
      </c>
      <c r="G333" s="25">
        <v>6.0</v>
      </c>
      <c r="H333" s="28">
        <v>1885.0</v>
      </c>
      <c r="I333" s="28">
        <v>11310.0</v>
      </c>
      <c r="J333" s="25">
        <v>0.0</v>
      </c>
      <c r="K333" s="28">
        <v>0.0</v>
      </c>
      <c r="L333" s="28">
        <v>11310.0</v>
      </c>
      <c r="M333" s="25" t="s">
        <v>61</v>
      </c>
      <c r="N333" s="25" t="s">
        <v>56</v>
      </c>
      <c r="O333" s="25" t="s">
        <v>44</v>
      </c>
      <c r="P333" s="15">
        <f t="shared" si="1"/>
        <v>10</v>
      </c>
    </row>
    <row r="334">
      <c r="A334" s="20">
        <v>20170.0</v>
      </c>
      <c r="B334" s="26">
        <v>45954.0</v>
      </c>
      <c r="C334" s="20" t="s">
        <v>63</v>
      </c>
      <c r="D334" s="20" t="s">
        <v>64</v>
      </c>
      <c r="E334" s="20" t="s">
        <v>26</v>
      </c>
      <c r="F334" s="20" t="s">
        <v>70</v>
      </c>
      <c r="G334" s="20">
        <v>8.0</v>
      </c>
      <c r="H334" s="24">
        <v>294.0</v>
      </c>
      <c r="I334" s="24">
        <v>2352.0</v>
      </c>
      <c r="J334" s="20">
        <v>0.0</v>
      </c>
      <c r="K334" s="24">
        <v>0.0</v>
      </c>
      <c r="L334" s="24">
        <v>2352.0</v>
      </c>
      <c r="M334" s="20" t="s">
        <v>106</v>
      </c>
      <c r="N334" s="20" t="s">
        <v>62</v>
      </c>
      <c r="O334" s="20" t="s">
        <v>57</v>
      </c>
      <c r="P334" s="15">
        <f t="shared" si="1"/>
        <v>10</v>
      </c>
    </row>
    <row r="335">
      <c r="A335" s="34">
        <v>20157.0</v>
      </c>
      <c r="B335" s="26">
        <v>45955.0</v>
      </c>
      <c r="C335" s="34" t="s">
        <v>76</v>
      </c>
      <c r="D335" s="34" t="s">
        <v>64</v>
      </c>
      <c r="E335" s="34" t="s">
        <v>77</v>
      </c>
      <c r="F335" s="34" t="s">
        <v>105</v>
      </c>
      <c r="G335" s="34">
        <v>10.0</v>
      </c>
      <c r="H335" s="35">
        <v>7802.0</v>
      </c>
      <c r="I335" s="35">
        <v>78020.0</v>
      </c>
      <c r="J335" s="34">
        <v>0.0</v>
      </c>
      <c r="K335" s="35">
        <v>0.0</v>
      </c>
      <c r="L335" s="35">
        <v>78020.0</v>
      </c>
      <c r="M335" s="34" t="s">
        <v>81</v>
      </c>
      <c r="N335" s="34" t="s">
        <v>56</v>
      </c>
      <c r="O335" s="34" t="s">
        <v>44</v>
      </c>
      <c r="P335" s="15">
        <f t="shared" si="1"/>
        <v>10</v>
      </c>
    </row>
    <row r="336">
      <c r="A336" s="29">
        <v>20387.0</v>
      </c>
      <c r="B336" s="26">
        <v>45956.0</v>
      </c>
      <c r="C336" s="29" t="s">
        <v>80</v>
      </c>
      <c r="D336" s="29" t="s">
        <v>64</v>
      </c>
      <c r="E336" s="29" t="s">
        <v>47</v>
      </c>
      <c r="F336" s="29" t="s">
        <v>103</v>
      </c>
      <c r="G336" s="29">
        <v>5.0</v>
      </c>
      <c r="H336" s="30">
        <v>2056.0</v>
      </c>
      <c r="I336" s="30">
        <v>10280.0</v>
      </c>
      <c r="J336" s="29">
        <v>10.0</v>
      </c>
      <c r="K336" s="30">
        <v>1028.0</v>
      </c>
      <c r="L336" s="30">
        <v>9252.0</v>
      </c>
      <c r="M336" s="29" t="s">
        <v>49</v>
      </c>
      <c r="N336" s="29" t="s">
        <v>62</v>
      </c>
      <c r="O336" s="29" t="s">
        <v>69</v>
      </c>
      <c r="P336" s="15">
        <f t="shared" si="1"/>
        <v>10</v>
      </c>
    </row>
    <row r="337">
      <c r="A337" s="34">
        <v>20283.0</v>
      </c>
      <c r="B337" s="26">
        <v>45957.0</v>
      </c>
      <c r="C337" s="34" t="s">
        <v>63</v>
      </c>
      <c r="D337" s="34" t="s">
        <v>64</v>
      </c>
      <c r="E337" s="34" t="s">
        <v>77</v>
      </c>
      <c r="F337" s="34" t="s">
        <v>90</v>
      </c>
      <c r="G337" s="34">
        <v>4.0</v>
      </c>
      <c r="H337" s="35">
        <v>3083.0</v>
      </c>
      <c r="I337" s="35">
        <v>12332.0</v>
      </c>
      <c r="J337" s="34">
        <v>20.0</v>
      </c>
      <c r="K337" s="35">
        <v>2466.0</v>
      </c>
      <c r="L337" s="35">
        <v>9866.0</v>
      </c>
      <c r="M337" s="34" t="s">
        <v>106</v>
      </c>
      <c r="N337" s="34" t="s">
        <v>56</v>
      </c>
      <c r="O337" s="34" t="s">
        <v>44</v>
      </c>
      <c r="P337" s="15">
        <f t="shared" si="1"/>
        <v>10</v>
      </c>
    </row>
    <row r="338">
      <c r="A338" s="20">
        <v>20234.0</v>
      </c>
      <c r="B338" s="26">
        <v>45958.0</v>
      </c>
      <c r="C338" s="20" t="s">
        <v>58</v>
      </c>
      <c r="D338" s="20" t="s">
        <v>25</v>
      </c>
      <c r="E338" s="20" t="s">
        <v>53</v>
      </c>
      <c r="F338" s="20" t="s">
        <v>95</v>
      </c>
      <c r="G338" s="20">
        <v>14.0</v>
      </c>
      <c r="H338" s="24">
        <v>652.0</v>
      </c>
      <c r="I338" s="24">
        <v>9128.0</v>
      </c>
      <c r="J338" s="20">
        <v>10.0</v>
      </c>
      <c r="K338" s="24">
        <v>913.0</v>
      </c>
      <c r="L338" s="24">
        <v>8215.0</v>
      </c>
      <c r="M338" s="20" t="s">
        <v>49</v>
      </c>
      <c r="N338" s="20" t="s">
        <v>62</v>
      </c>
      <c r="O338" s="20" t="s">
        <v>57</v>
      </c>
      <c r="P338" s="15">
        <f t="shared" si="1"/>
        <v>10</v>
      </c>
    </row>
    <row r="339">
      <c r="A339" s="34">
        <v>20419.0</v>
      </c>
      <c r="B339" s="26">
        <v>45958.0</v>
      </c>
      <c r="C339" s="34" t="s">
        <v>73</v>
      </c>
      <c r="D339" s="34" t="s">
        <v>52</v>
      </c>
      <c r="E339" s="34" t="s">
        <v>59</v>
      </c>
      <c r="F339" s="34" t="s">
        <v>60</v>
      </c>
      <c r="G339" s="34">
        <v>3.0</v>
      </c>
      <c r="H339" s="35">
        <v>180.0</v>
      </c>
      <c r="I339" s="35">
        <v>540.0</v>
      </c>
      <c r="J339" s="34">
        <v>15.0</v>
      </c>
      <c r="K339" s="35">
        <v>81.0</v>
      </c>
      <c r="L339" s="35">
        <v>459.0</v>
      </c>
      <c r="M339" s="34" t="s">
        <v>71</v>
      </c>
      <c r="N339" s="34" t="s">
        <v>50</v>
      </c>
      <c r="O339" s="34" t="s">
        <v>69</v>
      </c>
      <c r="P339" s="15">
        <f t="shared" si="1"/>
        <v>10</v>
      </c>
    </row>
    <row r="340">
      <c r="A340" s="29">
        <v>20017.0</v>
      </c>
      <c r="B340" s="26">
        <v>45959.0</v>
      </c>
      <c r="C340" s="29" t="s">
        <v>63</v>
      </c>
      <c r="D340" s="29" t="s">
        <v>64</v>
      </c>
      <c r="E340" s="29" t="s">
        <v>26</v>
      </c>
      <c r="F340" s="29" t="s">
        <v>104</v>
      </c>
      <c r="G340" s="29">
        <v>12.0</v>
      </c>
      <c r="H340" s="30">
        <v>180.0</v>
      </c>
      <c r="I340" s="30">
        <v>2160.0</v>
      </c>
      <c r="J340" s="29">
        <v>0.0</v>
      </c>
      <c r="K340" s="30">
        <v>0.0</v>
      </c>
      <c r="L340" s="30">
        <v>2160.0</v>
      </c>
      <c r="M340" s="29" t="s">
        <v>87</v>
      </c>
      <c r="N340" s="29" t="s">
        <v>50</v>
      </c>
      <c r="O340" s="29" t="s">
        <v>44</v>
      </c>
      <c r="P340" s="15">
        <f t="shared" si="1"/>
        <v>10</v>
      </c>
    </row>
    <row r="341">
      <c r="A341" s="25">
        <v>20070.0</v>
      </c>
      <c r="B341" s="26">
        <v>45959.0</v>
      </c>
      <c r="C341" s="25" t="s">
        <v>99</v>
      </c>
      <c r="D341" s="25" t="s">
        <v>64</v>
      </c>
      <c r="E341" s="25" t="s">
        <v>59</v>
      </c>
      <c r="F341" s="25" t="s">
        <v>79</v>
      </c>
      <c r="G341" s="25">
        <v>9.0</v>
      </c>
      <c r="H341" s="28">
        <v>196.0</v>
      </c>
      <c r="I341" s="28">
        <v>1764.0</v>
      </c>
      <c r="J341" s="25">
        <v>0.0</v>
      </c>
      <c r="K341" s="28">
        <v>0.0</v>
      </c>
      <c r="L341" s="28">
        <v>1764.0</v>
      </c>
      <c r="M341" s="25" t="s">
        <v>81</v>
      </c>
      <c r="N341" s="25" t="s">
        <v>50</v>
      </c>
      <c r="O341" s="25" t="s">
        <v>44</v>
      </c>
      <c r="P341" s="15">
        <f t="shared" si="1"/>
        <v>10</v>
      </c>
    </row>
    <row r="342">
      <c r="A342" s="20">
        <v>20326.0</v>
      </c>
      <c r="B342" s="26">
        <v>45959.0</v>
      </c>
      <c r="C342" s="20" t="s">
        <v>89</v>
      </c>
      <c r="D342" s="20" t="s">
        <v>46</v>
      </c>
      <c r="E342" s="20" t="s">
        <v>77</v>
      </c>
      <c r="F342" s="20" t="s">
        <v>90</v>
      </c>
      <c r="G342" s="20">
        <v>14.0</v>
      </c>
      <c r="H342" s="24">
        <v>3342.0</v>
      </c>
      <c r="I342" s="24">
        <v>46788.0</v>
      </c>
      <c r="J342" s="20">
        <v>10.0</v>
      </c>
      <c r="K342" s="24">
        <v>4679.0</v>
      </c>
      <c r="L342" s="24">
        <v>42109.0</v>
      </c>
      <c r="M342" s="20" t="s">
        <v>87</v>
      </c>
      <c r="N342" s="20" t="s">
        <v>72</v>
      </c>
      <c r="O342" s="20" t="s">
        <v>44</v>
      </c>
      <c r="P342" s="15">
        <f t="shared" si="1"/>
        <v>10</v>
      </c>
    </row>
    <row r="343">
      <c r="A343" s="34">
        <v>20391.0</v>
      </c>
      <c r="B343" s="26">
        <v>45959.0</v>
      </c>
      <c r="C343" s="34" t="s">
        <v>58</v>
      </c>
      <c r="D343" s="34" t="s">
        <v>25</v>
      </c>
      <c r="E343" s="34" t="s">
        <v>59</v>
      </c>
      <c r="F343" s="34" t="s">
        <v>60</v>
      </c>
      <c r="G343" s="34">
        <v>5.0</v>
      </c>
      <c r="H343" s="35">
        <v>102.0</v>
      </c>
      <c r="I343" s="35">
        <v>510.0</v>
      </c>
      <c r="J343" s="34">
        <v>10.0</v>
      </c>
      <c r="K343" s="35">
        <v>51.0</v>
      </c>
      <c r="L343" s="35">
        <v>459.0</v>
      </c>
      <c r="M343" s="34" t="s">
        <v>87</v>
      </c>
      <c r="N343" s="34" t="s">
        <v>43</v>
      </c>
      <c r="O343" s="34" t="s">
        <v>44</v>
      </c>
      <c r="P343" s="15">
        <f t="shared" si="1"/>
        <v>10</v>
      </c>
    </row>
    <row r="344">
      <c r="A344" s="20">
        <v>20024.0</v>
      </c>
      <c r="B344" s="26">
        <v>45962.0</v>
      </c>
      <c r="C344" s="20" t="s">
        <v>92</v>
      </c>
      <c r="D344" s="20" t="s">
        <v>25</v>
      </c>
      <c r="E344" s="20" t="s">
        <v>77</v>
      </c>
      <c r="F344" s="20" t="s">
        <v>110</v>
      </c>
      <c r="G344" s="20">
        <v>2.0</v>
      </c>
      <c r="H344" s="24">
        <v>5642.0</v>
      </c>
      <c r="I344" s="24">
        <v>11284.0</v>
      </c>
      <c r="J344" s="20">
        <v>5.0</v>
      </c>
      <c r="K344" s="24">
        <v>564.0</v>
      </c>
      <c r="L344" s="24">
        <v>10720.0</v>
      </c>
      <c r="M344" s="20" t="s">
        <v>49</v>
      </c>
      <c r="N344" s="20" t="s">
        <v>56</v>
      </c>
      <c r="O344" s="20" t="s">
        <v>57</v>
      </c>
      <c r="P344" s="15">
        <f t="shared" si="1"/>
        <v>11</v>
      </c>
    </row>
    <row r="345">
      <c r="A345" s="25">
        <v>20044.0</v>
      </c>
      <c r="B345" s="26">
        <v>45962.0</v>
      </c>
      <c r="C345" s="25" t="s">
        <v>84</v>
      </c>
      <c r="D345" s="25" t="s">
        <v>46</v>
      </c>
      <c r="E345" s="25" t="s">
        <v>59</v>
      </c>
      <c r="F345" s="25" t="s">
        <v>83</v>
      </c>
      <c r="G345" s="25">
        <v>14.0</v>
      </c>
      <c r="H345" s="28">
        <v>288.0</v>
      </c>
      <c r="I345" s="28">
        <v>4032.0</v>
      </c>
      <c r="J345" s="25">
        <v>15.0</v>
      </c>
      <c r="K345" s="28">
        <v>605.0</v>
      </c>
      <c r="L345" s="28">
        <v>3427.0</v>
      </c>
      <c r="M345" s="25" t="s">
        <v>42</v>
      </c>
      <c r="N345" s="25" t="s">
        <v>43</v>
      </c>
      <c r="O345" s="25" t="s">
        <v>44</v>
      </c>
      <c r="P345" s="15">
        <f t="shared" si="1"/>
        <v>11</v>
      </c>
    </row>
    <row r="346">
      <c r="A346" s="29">
        <v>20071.0</v>
      </c>
      <c r="B346" s="26">
        <v>45962.0</v>
      </c>
      <c r="C346" s="29" t="s">
        <v>89</v>
      </c>
      <c r="D346" s="29" t="s">
        <v>46</v>
      </c>
      <c r="E346" s="29" t="s">
        <v>59</v>
      </c>
      <c r="F346" s="29" t="s">
        <v>79</v>
      </c>
      <c r="G346" s="29">
        <v>8.0</v>
      </c>
      <c r="H346" s="30">
        <v>199.0</v>
      </c>
      <c r="I346" s="30">
        <v>1592.0</v>
      </c>
      <c r="J346" s="29">
        <v>10.0</v>
      </c>
      <c r="K346" s="30">
        <v>159.0</v>
      </c>
      <c r="L346" s="30">
        <v>1433.0</v>
      </c>
      <c r="M346" s="29" t="s">
        <v>42</v>
      </c>
      <c r="N346" s="29" t="s">
        <v>43</v>
      </c>
      <c r="O346" s="29" t="s">
        <v>69</v>
      </c>
      <c r="P346" s="15">
        <f t="shared" si="1"/>
        <v>11</v>
      </c>
    </row>
    <row r="347">
      <c r="A347" s="25">
        <v>20128.0</v>
      </c>
      <c r="B347" s="26">
        <v>45962.0</v>
      </c>
      <c r="C347" s="25" t="s">
        <v>92</v>
      </c>
      <c r="D347" s="25" t="s">
        <v>25</v>
      </c>
      <c r="E347" s="25" t="s">
        <v>53</v>
      </c>
      <c r="F347" s="25" t="s">
        <v>54</v>
      </c>
      <c r="G347" s="25">
        <v>7.0</v>
      </c>
      <c r="H347" s="28">
        <v>560.0</v>
      </c>
      <c r="I347" s="28">
        <v>3920.0</v>
      </c>
      <c r="J347" s="25">
        <v>0.0</v>
      </c>
      <c r="K347" s="28">
        <v>0.0</v>
      </c>
      <c r="L347" s="28">
        <v>3920.0</v>
      </c>
      <c r="M347" s="25" t="s">
        <v>61</v>
      </c>
      <c r="N347" s="25" t="s">
        <v>56</v>
      </c>
      <c r="O347" s="25" t="s">
        <v>44</v>
      </c>
      <c r="P347" s="15">
        <f t="shared" si="1"/>
        <v>11</v>
      </c>
    </row>
    <row r="348">
      <c r="A348" s="20">
        <v>20036.0</v>
      </c>
      <c r="B348" s="26">
        <v>45963.0</v>
      </c>
      <c r="C348" s="20" t="s">
        <v>24</v>
      </c>
      <c r="D348" s="20" t="s">
        <v>52</v>
      </c>
      <c r="E348" s="20" t="s">
        <v>53</v>
      </c>
      <c r="F348" s="20" t="s">
        <v>98</v>
      </c>
      <c r="G348" s="20">
        <v>13.0</v>
      </c>
      <c r="H348" s="24">
        <v>1540.0</v>
      </c>
      <c r="I348" s="24">
        <v>20020.0</v>
      </c>
      <c r="J348" s="20">
        <v>5.0</v>
      </c>
      <c r="K348" s="24">
        <v>1001.0</v>
      </c>
      <c r="L348" s="24">
        <v>19019.0</v>
      </c>
      <c r="M348" s="20" t="s">
        <v>49</v>
      </c>
      <c r="N348" s="20" t="s">
        <v>50</v>
      </c>
      <c r="O348" s="20" t="s">
        <v>44</v>
      </c>
      <c r="P348" s="15">
        <f t="shared" si="1"/>
        <v>11</v>
      </c>
    </row>
    <row r="349">
      <c r="A349" s="25">
        <v>20072.0</v>
      </c>
      <c r="B349" s="26">
        <v>45964.0</v>
      </c>
      <c r="C349" s="25" t="s">
        <v>93</v>
      </c>
      <c r="D349" s="25" t="s">
        <v>25</v>
      </c>
      <c r="E349" s="25" t="s">
        <v>59</v>
      </c>
      <c r="F349" s="25" t="s">
        <v>85</v>
      </c>
      <c r="G349" s="25">
        <v>10.0</v>
      </c>
      <c r="H349" s="28">
        <v>177.0</v>
      </c>
      <c r="I349" s="28">
        <v>1770.0</v>
      </c>
      <c r="J349" s="25">
        <v>20.0</v>
      </c>
      <c r="K349" s="28">
        <v>354.0</v>
      </c>
      <c r="L349" s="28">
        <v>1416.0</v>
      </c>
      <c r="M349" s="25" t="s">
        <v>96</v>
      </c>
      <c r="N349" s="25" t="s">
        <v>56</v>
      </c>
      <c r="O349" s="25" t="s">
        <v>69</v>
      </c>
      <c r="P349" s="15">
        <f t="shared" si="1"/>
        <v>11</v>
      </c>
    </row>
    <row r="350">
      <c r="A350" s="29">
        <v>20109.0</v>
      </c>
      <c r="B350" s="26">
        <v>45965.0</v>
      </c>
      <c r="C350" s="29" t="s">
        <v>89</v>
      </c>
      <c r="D350" s="29" t="s">
        <v>46</v>
      </c>
      <c r="E350" s="29" t="s">
        <v>53</v>
      </c>
      <c r="F350" s="29" t="s">
        <v>102</v>
      </c>
      <c r="G350" s="29">
        <v>10.0</v>
      </c>
      <c r="H350" s="30">
        <v>615.0</v>
      </c>
      <c r="I350" s="30">
        <v>6150.0</v>
      </c>
      <c r="J350" s="29">
        <v>0.0</v>
      </c>
      <c r="K350" s="30">
        <v>0.0</v>
      </c>
      <c r="L350" s="30">
        <v>6150.0</v>
      </c>
      <c r="M350" s="29" t="s">
        <v>71</v>
      </c>
      <c r="N350" s="29" t="s">
        <v>72</v>
      </c>
      <c r="O350" s="29" t="s">
        <v>57</v>
      </c>
      <c r="P350" s="15">
        <f t="shared" si="1"/>
        <v>11</v>
      </c>
    </row>
    <row r="351">
      <c r="A351" s="25">
        <v>20286.0</v>
      </c>
      <c r="B351" s="26">
        <v>45966.0</v>
      </c>
      <c r="C351" s="25" t="s">
        <v>63</v>
      </c>
      <c r="D351" s="25" t="s">
        <v>64</v>
      </c>
      <c r="E351" s="25" t="s">
        <v>26</v>
      </c>
      <c r="F351" s="25" t="s">
        <v>70</v>
      </c>
      <c r="G351" s="25">
        <v>8.0</v>
      </c>
      <c r="H351" s="28">
        <v>120.0</v>
      </c>
      <c r="I351" s="28">
        <v>960.0</v>
      </c>
      <c r="J351" s="25">
        <v>0.0</v>
      </c>
      <c r="K351" s="28">
        <v>0.0</v>
      </c>
      <c r="L351" s="28">
        <v>960.0</v>
      </c>
      <c r="M351" s="25" t="s">
        <v>68</v>
      </c>
      <c r="N351" s="25" t="s">
        <v>72</v>
      </c>
      <c r="O351" s="25" t="s">
        <v>69</v>
      </c>
      <c r="P351" s="15">
        <f t="shared" si="1"/>
        <v>11</v>
      </c>
    </row>
    <row r="352">
      <c r="A352" s="20">
        <v>20344.0</v>
      </c>
      <c r="B352" s="26">
        <v>45967.0</v>
      </c>
      <c r="C352" s="20" t="s">
        <v>89</v>
      </c>
      <c r="D352" s="20" t="s">
        <v>46</v>
      </c>
      <c r="E352" s="20" t="s">
        <v>47</v>
      </c>
      <c r="F352" s="20" t="s">
        <v>103</v>
      </c>
      <c r="G352" s="20">
        <v>4.0</v>
      </c>
      <c r="H352" s="24">
        <v>1112.0</v>
      </c>
      <c r="I352" s="24">
        <v>4448.0</v>
      </c>
      <c r="J352" s="20">
        <v>20.0</v>
      </c>
      <c r="K352" s="24">
        <v>890.0</v>
      </c>
      <c r="L352" s="24">
        <v>3558.0</v>
      </c>
      <c r="M352" s="20" t="s">
        <v>42</v>
      </c>
      <c r="N352" s="20" t="s">
        <v>72</v>
      </c>
      <c r="O352" s="20" t="s">
        <v>57</v>
      </c>
      <c r="P352" s="15">
        <f t="shared" si="1"/>
        <v>11</v>
      </c>
    </row>
    <row r="353">
      <c r="A353" s="25">
        <v>20054.0</v>
      </c>
      <c r="B353" s="26">
        <v>45968.0</v>
      </c>
      <c r="C353" s="25" t="s">
        <v>58</v>
      </c>
      <c r="D353" s="25" t="s">
        <v>25</v>
      </c>
      <c r="E353" s="25" t="s">
        <v>77</v>
      </c>
      <c r="F353" s="25" t="s">
        <v>101</v>
      </c>
      <c r="G353" s="25">
        <v>2.0</v>
      </c>
      <c r="H353" s="28">
        <v>3455.0</v>
      </c>
      <c r="I353" s="28">
        <v>6910.0</v>
      </c>
      <c r="J353" s="25">
        <v>5.0</v>
      </c>
      <c r="K353" s="28">
        <v>346.0</v>
      </c>
      <c r="L353" s="28">
        <v>6564.0</v>
      </c>
      <c r="M353" s="25" t="s">
        <v>106</v>
      </c>
      <c r="N353" s="25" t="s">
        <v>62</v>
      </c>
      <c r="O353" s="25" t="s">
        <v>57</v>
      </c>
      <c r="P353" s="15">
        <f t="shared" si="1"/>
        <v>11</v>
      </c>
    </row>
    <row r="354">
      <c r="A354" s="29">
        <v>20375.0</v>
      </c>
      <c r="B354" s="26">
        <v>45968.0</v>
      </c>
      <c r="C354" s="29" t="s">
        <v>92</v>
      </c>
      <c r="D354" s="29" t="s">
        <v>25</v>
      </c>
      <c r="E354" s="29" t="s">
        <v>53</v>
      </c>
      <c r="F354" s="29" t="s">
        <v>75</v>
      </c>
      <c r="G354" s="29">
        <v>15.0</v>
      </c>
      <c r="H354" s="30">
        <v>1801.0</v>
      </c>
      <c r="I354" s="30">
        <v>27015.0</v>
      </c>
      <c r="J354" s="29">
        <v>15.0</v>
      </c>
      <c r="K354" s="30">
        <v>4052.0</v>
      </c>
      <c r="L354" s="30">
        <v>22963.0</v>
      </c>
      <c r="M354" s="29" t="s">
        <v>71</v>
      </c>
      <c r="N354" s="29" t="s">
        <v>62</v>
      </c>
      <c r="O354" s="29" t="s">
        <v>57</v>
      </c>
      <c r="P354" s="15">
        <f t="shared" si="1"/>
        <v>11</v>
      </c>
    </row>
    <row r="355">
      <c r="A355" s="34">
        <v>20137.0</v>
      </c>
      <c r="B355" s="26">
        <v>45969.0</v>
      </c>
      <c r="C355" s="34" t="s">
        <v>24</v>
      </c>
      <c r="D355" s="34" t="s">
        <v>52</v>
      </c>
      <c r="E355" s="34" t="s">
        <v>26</v>
      </c>
      <c r="F355" s="34" t="s">
        <v>74</v>
      </c>
      <c r="G355" s="34">
        <v>4.0</v>
      </c>
      <c r="H355" s="35">
        <v>428.0</v>
      </c>
      <c r="I355" s="35">
        <v>1712.0</v>
      </c>
      <c r="J355" s="34">
        <v>15.0</v>
      </c>
      <c r="K355" s="35">
        <v>257.0</v>
      </c>
      <c r="L355" s="35">
        <v>1455.0</v>
      </c>
      <c r="M355" s="34" t="s">
        <v>49</v>
      </c>
      <c r="N355" s="34" t="s">
        <v>43</v>
      </c>
      <c r="O355" s="34" t="s">
        <v>69</v>
      </c>
      <c r="P355" s="15">
        <f t="shared" si="1"/>
        <v>11</v>
      </c>
    </row>
    <row r="356">
      <c r="A356" s="20">
        <v>20314.0</v>
      </c>
      <c r="B356" s="26">
        <v>45969.0</v>
      </c>
      <c r="C356" s="20" t="s">
        <v>89</v>
      </c>
      <c r="D356" s="20" t="s">
        <v>46</v>
      </c>
      <c r="E356" s="20" t="s">
        <v>53</v>
      </c>
      <c r="F356" s="20" t="s">
        <v>48</v>
      </c>
      <c r="G356" s="20">
        <v>15.0</v>
      </c>
      <c r="H356" s="24">
        <v>1013.0</v>
      </c>
      <c r="I356" s="24">
        <v>15195.0</v>
      </c>
      <c r="J356" s="20">
        <v>0.0</v>
      </c>
      <c r="K356" s="24">
        <v>0.0</v>
      </c>
      <c r="L356" s="24">
        <v>15195.0</v>
      </c>
      <c r="M356" s="20" t="s">
        <v>42</v>
      </c>
      <c r="N356" s="20" t="s">
        <v>72</v>
      </c>
      <c r="O356" s="20" t="s">
        <v>57</v>
      </c>
      <c r="P356" s="15">
        <f t="shared" si="1"/>
        <v>11</v>
      </c>
    </row>
    <row r="357">
      <c r="A357" s="25">
        <v>20214.0</v>
      </c>
      <c r="B357" s="26">
        <v>45972.0</v>
      </c>
      <c r="C357" s="25" t="s">
        <v>51</v>
      </c>
      <c r="D357" s="25" t="s">
        <v>52</v>
      </c>
      <c r="E357" s="25" t="s">
        <v>53</v>
      </c>
      <c r="F357" s="25" t="s">
        <v>102</v>
      </c>
      <c r="G357" s="25">
        <v>11.0</v>
      </c>
      <c r="H357" s="28">
        <v>1221.0</v>
      </c>
      <c r="I357" s="28">
        <v>13431.0</v>
      </c>
      <c r="J357" s="25">
        <v>0.0</v>
      </c>
      <c r="K357" s="28">
        <v>0.0</v>
      </c>
      <c r="L357" s="28">
        <v>13431.0</v>
      </c>
      <c r="M357" s="25" t="s">
        <v>87</v>
      </c>
      <c r="N357" s="25" t="s">
        <v>43</v>
      </c>
      <c r="O357" s="25" t="s">
        <v>44</v>
      </c>
      <c r="P357" s="15">
        <f t="shared" si="1"/>
        <v>11</v>
      </c>
    </row>
    <row r="358">
      <c r="A358" s="20">
        <v>20242.0</v>
      </c>
      <c r="B358" s="26">
        <v>45973.0</v>
      </c>
      <c r="C358" s="20" t="s">
        <v>76</v>
      </c>
      <c r="D358" s="20" t="s">
        <v>64</v>
      </c>
      <c r="E358" s="20" t="s">
        <v>77</v>
      </c>
      <c r="F358" s="20" t="s">
        <v>78</v>
      </c>
      <c r="G358" s="20">
        <v>13.0</v>
      </c>
      <c r="H358" s="24">
        <v>5570.0</v>
      </c>
      <c r="I358" s="24">
        <v>72410.0</v>
      </c>
      <c r="J358" s="20">
        <v>10.0</v>
      </c>
      <c r="K358" s="24">
        <v>7241.0</v>
      </c>
      <c r="L358" s="24">
        <v>65169.0</v>
      </c>
      <c r="M358" s="20" t="s">
        <v>87</v>
      </c>
      <c r="N358" s="20" t="s">
        <v>50</v>
      </c>
      <c r="O358" s="20" t="s">
        <v>44</v>
      </c>
      <c r="P358" s="15">
        <f t="shared" si="1"/>
        <v>11</v>
      </c>
    </row>
    <row r="359">
      <c r="A359" s="34">
        <v>20067.0</v>
      </c>
      <c r="B359" s="26">
        <v>45974.0</v>
      </c>
      <c r="C359" s="34" t="s">
        <v>63</v>
      </c>
      <c r="D359" s="34" t="s">
        <v>64</v>
      </c>
      <c r="E359" s="34" t="s">
        <v>47</v>
      </c>
      <c r="F359" s="34" t="s">
        <v>27</v>
      </c>
      <c r="G359" s="34">
        <v>8.0</v>
      </c>
      <c r="H359" s="35">
        <v>1449.0</v>
      </c>
      <c r="I359" s="35">
        <v>11592.0</v>
      </c>
      <c r="J359" s="34">
        <v>10.0</v>
      </c>
      <c r="K359" s="35">
        <v>1159.0</v>
      </c>
      <c r="L359" s="35">
        <v>10433.0</v>
      </c>
      <c r="M359" s="34" t="s">
        <v>49</v>
      </c>
      <c r="N359" s="34" t="s">
        <v>62</v>
      </c>
      <c r="O359" s="34" t="s">
        <v>57</v>
      </c>
      <c r="P359" s="15">
        <f t="shared" si="1"/>
        <v>11</v>
      </c>
    </row>
    <row r="360">
      <c r="A360" s="20">
        <v>20306.0</v>
      </c>
      <c r="B360" s="26">
        <v>45974.0</v>
      </c>
      <c r="C360" s="20" t="s">
        <v>51</v>
      </c>
      <c r="D360" s="20" t="s">
        <v>52</v>
      </c>
      <c r="E360" s="20" t="s">
        <v>26</v>
      </c>
      <c r="F360" s="20" t="s">
        <v>111</v>
      </c>
      <c r="G360" s="20">
        <v>15.0</v>
      </c>
      <c r="H360" s="24">
        <v>459.0</v>
      </c>
      <c r="I360" s="24">
        <v>6885.0</v>
      </c>
      <c r="J360" s="20">
        <v>0.0</v>
      </c>
      <c r="K360" s="24">
        <v>0.0</v>
      </c>
      <c r="L360" s="24">
        <v>6885.0</v>
      </c>
      <c r="M360" s="20" t="s">
        <v>55</v>
      </c>
      <c r="N360" s="20" t="s">
        <v>62</v>
      </c>
      <c r="O360" s="20" t="s">
        <v>44</v>
      </c>
      <c r="P360" s="15">
        <f t="shared" si="1"/>
        <v>11</v>
      </c>
    </row>
    <row r="361">
      <c r="A361" s="34">
        <v>20331.0</v>
      </c>
      <c r="B361" s="26">
        <v>45974.0</v>
      </c>
      <c r="C361" s="34" t="s">
        <v>58</v>
      </c>
      <c r="D361" s="34" t="s">
        <v>25</v>
      </c>
      <c r="E361" s="34" t="s">
        <v>53</v>
      </c>
      <c r="F361" s="34" t="s">
        <v>102</v>
      </c>
      <c r="G361" s="34">
        <v>13.0</v>
      </c>
      <c r="H361" s="35">
        <v>705.0</v>
      </c>
      <c r="I361" s="35">
        <v>9165.0</v>
      </c>
      <c r="J361" s="34">
        <v>20.0</v>
      </c>
      <c r="K361" s="35">
        <v>1833.0</v>
      </c>
      <c r="L361" s="35">
        <v>7332.0</v>
      </c>
      <c r="M361" s="34" t="s">
        <v>96</v>
      </c>
      <c r="N361" s="34" t="s">
        <v>56</v>
      </c>
      <c r="O361" s="34" t="s">
        <v>69</v>
      </c>
      <c r="P361" s="15">
        <f t="shared" si="1"/>
        <v>11</v>
      </c>
    </row>
    <row r="362">
      <c r="A362" s="29">
        <v>20237.0</v>
      </c>
      <c r="B362" s="26">
        <v>45975.0</v>
      </c>
      <c r="C362" s="29" t="s">
        <v>93</v>
      </c>
      <c r="D362" s="29" t="s">
        <v>25</v>
      </c>
      <c r="E362" s="29" t="s">
        <v>53</v>
      </c>
      <c r="F362" s="29" t="s">
        <v>102</v>
      </c>
      <c r="G362" s="29">
        <v>8.0</v>
      </c>
      <c r="H362" s="30">
        <v>1085.0</v>
      </c>
      <c r="I362" s="30">
        <v>8680.0</v>
      </c>
      <c r="J362" s="29">
        <v>15.0</v>
      </c>
      <c r="K362" s="30">
        <v>1302.0</v>
      </c>
      <c r="L362" s="30">
        <v>7378.0</v>
      </c>
      <c r="M362" s="29" t="s">
        <v>42</v>
      </c>
      <c r="N362" s="29" t="s">
        <v>43</v>
      </c>
      <c r="O362" s="29" t="s">
        <v>57</v>
      </c>
      <c r="P362" s="15">
        <f t="shared" si="1"/>
        <v>11</v>
      </c>
    </row>
    <row r="363">
      <c r="A363" s="34">
        <v>20345.0</v>
      </c>
      <c r="B363" s="26">
        <v>45975.0</v>
      </c>
      <c r="C363" s="34" t="s">
        <v>82</v>
      </c>
      <c r="D363" s="34" t="s">
        <v>52</v>
      </c>
      <c r="E363" s="34" t="s">
        <v>53</v>
      </c>
      <c r="F363" s="34" t="s">
        <v>98</v>
      </c>
      <c r="G363" s="34">
        <v>8.0</v>
      </c>
      <c r="H363" s="35">
        <v>1854.0</v>
      </c>
      <c r="I363" s="35">
        <v>14832.0</v>
      </c>
      <c r="J363" s="34">
        <v>0.0</v>
      </c>
      <c r="K363" s="35">
        <v>0.0</v>
      </c>
      <c r="L363" s="35">
        <v>14832.0</v>
      </c>
      <c r="M363" s="34" t="s">
        <v>55</v>
      </c>
      <c r="N363" s="34" t="s">
        <v>72</v>
      </c>
      <c r="O363" s="34" t="s">
        <v>57</v>
      </c>
      <c r="P363" s="15">
        <f t="shared" si="1"/>
        <v>11</v>
      </c>
    </row>
    <row r="364">
      <c r="A364" s="20">
        <v>20050.0</v>
      </c>
      <c r="B364" s="26">
        <v>45976.0</v>
      </c>
      <c r="C364" s="20" t="s">
        <v>97</v>
      </c>
      <c r="D364" s="20" t="s">
        <v>25</v>
      </c>
      <c r="E364" s="20" t="s">
        <v>59</v>
      </c>
      <c r="F364" s="20" t="s">
        <v>83</v>
      </c>
      <c r="G364" s="20">
        <v>10.0</v>
      </c>
      <c r="H364" s="24">
        <v>279.0</v>
      </c>
      <c r="I364" s="24">
        <v>2790.0</v>
      </c>
      <c r="J364" s="20">
        <v>20.0</v>
      </c>
      <c r="K364" s="24">
        <v>558.0</v>
      </c>
      <c r="L364" s="24">
        <v>2232.0</v>
      </c>
      <c r="M364" s="20" t="s">
        <v>42</v>
      </c>
      <c r="N364" s="20" t="s">
        <v>50</v>
      </c>
      <c r="O364" s="20" t="s">
        <v>69</v>
      </c>
      <c r="P364" s="15">
        <f t="shared" si="1"/>
        <v>11</v>
      </c>
    </row>
    <row r="365">
      <c r="A365" s="25">
        <v>20268.0</v>
      </c>
      <c r="B365" s="26">
        <v>45976.0</v>
      </c>
      <c r="C365" s="25" t="s">
        <v>63</v>
      </c>
      <c r="D365" s="25" t="s">
        <v>64</v>
      </c>
      <c r="E365" s="25" t="s">
        <v>59</v>
      </c>
      <c r="F365" s="25" t="s">
        <v>85</v>
      </c>
      <c r="G365" s="25">
        <v>10.0</v>
      </c>
      <c r="H365" s="28">
        <v>160.0</v>
      </c>
      <c r="I365" s="28">
        <v>1600.0</v>
      </c>
      <c r="J365" s="25">
        <v>20.0</v>
      </c>
      <c r="K365" s="28">
        <v>320.0</v>
      </c>
      <c r="L365" s="28">
        <v>1280.0</v>
      </c>
      <c r="M365" s="25" t="s">
        <v>106</v>
      </c>
      <c r="N365" s="25" t="s">
        <v>50</v>
      </c>
      <c r="O365" s="25" t="s">
        <v>69</v>
      </c>
      <c r="P365" s="15">
        <f t="shared" si="1"/>
        <v>11</v>
      </c>
    </row>
    <row r="366">
      <c r="A366" s="20">
        <v>20122.0</v>
      </c>
      <c r="B366" s="26">
        <v>45979.0</v>
      </c>
      <c r="C366" s="20" t="s">
        <v>84</v>
      </c>
      <c r="D366" s="20" t="s">
        <v>46</v>
      </c>
      <c r="E366" s="20" t="s">
        <v>77</v>
      </c>
      <c r="F366" s="20" t="s">
        <v>110</v>
      </c>
      <c r="G366" s="20">
        <v>2.0</v>
      </c>
      <c r="H366" s="24">
        <v>4522.0</v>
      </c>
      <c r="I366" s="24">
        <v>9044.0</v>
      </c>
      <c r="J366" s="20">
        <v>10.0</v>
      </c>
      <c r="K366" s="24">
        <v>904.0</v>
      </c>
      <c r="L366" s="24">
        <v>8140.0</v>
      </c>
      <c r="M366" s="20" t="s">
        <v>81</v>
      </c>
      <c r="N366" s="20" t="s">
        <v>72</v>
      </c>
      <c r="O366" s="20" t="s">
        <v>57</v>
      </c>
      <c r="P366" s="15">
        <f t="shared" si="1"/>
        <v>11</v>
      </c>
    </row>
    <row r="367">
      <c r="A367" s="25">
        <v>20066.0</v>
      </c>
      <c r="B367" s="26">
        <v>45980.0</v>
      </c>
      <c r="C367" s="25" t="s">
        <v>93</v>
      </c>
      <c r="D367" s="25" t="s">
        <v>25</v>
      </c>
      <c r="E367" s="25" t="s">
        <v>77</v>
      </c>
      <c r="F367" s="25" t="s">
        <v>78</v>
      </c>
      <c r="G367" s="25">
        <v>13.0</v>
      </c>
      <c r="H367" s="28">
        <v>1597.0</v>
      </c>
      <c r="I367" s="28">
        <v>20761.0</v>
      </c>
      <c r="J367" s="25">
        <v>20.0</v>
      </c>
      <c r="K367" s="28">
        <v>4152.0</v>
      </c>
      <c r="L367" s="28">
        <v>16609.0</v>
      </c>
      <c r="M367" s="25" t="s">
        <v>61</v>
      </c>
      <c r="N367" s="25" t="s">
        <v>56</v>
      </c>
      <c r="O367" s="25" t="s">
        <v>57</v>
      </c>
      <c r="P367" s="15">
        <f t="shared" si="1"/>
        <v>11</v>
      </c>
    </row>
    <row r="368">
      <c r="A368" s="29">
        <v>20385.0</v>
      </c>
      <c r="B368" s="26">
        <v>45980.0</v>
      </c>
      <c r="C368" s="29" t="s">
        <v>93</v>
      </c>
      <c r="D368" s="29" t="s">
        <v>25</v>
      </c>
      <c r="E368" s="29" t="s">
        <v>47</v>
      </c>
      <c r="F368" s="29" t="s">
        <v>65</v>
      </c>
      <c r="G368" s="29">
        <v>1.0</v>
      </c>
      <c r="H368" s="30">
        <v>1859.0</v>
      </c>
      <c r="I368" s="30">
        <v>1859.0</v>
      </c>
      <c r="J368" s="29">
        <v>10.0</v>
      </c>
      <c r="K368" s="30">
        <v>186.0</v>
      </c>
      <c r="L368" s="30">
        <v>1673.0</v>
      </c>
      <c r="M368" s="29" t="s">
        <v>49</v>
      </c>
      <c r="N368" s="29" t="s">
        <v>62</v>
      </c>
      <c r="O368" s="29" t="s">
        <v>57</v>
      </c>
      <c r="P368" s="15">
        <f t="shared" si="1"/>
        <v>11</v>
      </c>
    </row>
    <row r="369">
      <c r="A369" s="25">
        <v>20376.0</v>
      </c>
      <c r="B369" s="26">
        <v>45981.0</v>
      </c>
      <c r="C369" s="25" t="s">
        <v>97</v>
      </c>
      <c r="D369" s="25" t="s">
        <v>25</v>
      </c>
      <c r="E369" s="25" t="s">
        <v>47</v>
      </c>
      <c r="F369" s="25" t="s">
        <v>103</v>
      </c>
      <c r="G369" s="25">
        <v>7.0</v>
      </c>
      <c r="H369" s="28">
        <v>1266.0</v>
      </c>
      <c r="I369" s="28">
        <v>8862.0</v>
      </c>
      <c r="J369" s="25">
        <v>10.0</v>
      </c>
      <c r="K369" s="28">
        <v>886.0</v>
      </c>
      <c r="L369" s="28">
        <v>7976.0</v>
      </c>
      <c r="M369" s="25" t="s">
        <v>87</v>
      </c>
      <c r="N369" s="25" t="s">
        <v>43</v>
      </c>
      <c r="O369" s="25" t="s">
        <v>57</v>
      </c>
      <c r="P369" s="15">
        <f t="shared" si="1"/>
        <v>11</v>
      </c>
    </row>
    <row r="370">
      <c r="A370" s="29">
        <v>20105.0</v>
      </c>
      <c r="B370" s="26">
        <v>45982.0</v>
      </c>
      <c r="C370" s="29" t="s">
        <v>84</v>
      </c>
      <c r="D370" s="29" t="s">
        <v>46</v>
      </c>
      <c r="E370" s="29" t="s">
        <v>59</v>
      </c>
      <c r="F370" s="29" t="s">
        <v>83</v>
      </c>
      <c r="G370" s="29">
        <v>9.0</v>
      </c>
      <c r="H370" s="30">
        <v>369.0</v>
      </c>
      <c r="I370" s="30">
        <v>3321.0</v>
      </c>
      <c r="J370" s="29">
        <v>0.0</v>
      </c>
      <c r="K370" s="30">
        <v>0.0</v>
      </c>
      <c r="L370" s="30">
        <v>3321.0</v>
      </c>
      <c r="M370" s="29" t="s">
        <v>71</v>
      </c>
      <c r="N370" s="29" t="s">
        <v>56</v>
      </c>
      <c r="O370" s="29" t="s">
        <v>57</v>
      </c>
      <c r="P370" s="15">
        <f t="shared" si="1"/>
        <v>11</v>
      </c>
    </row>
    <row r="371">
      <c r="A371" s="25">
        <v>20356.0</v>
      </c>
      <c r="B371" s="26">
        <v>45982.0</v>
      </c>
      <c r="C371" s="25" t="s">
        <v>45</v>
      </c>
      <c r="D371" s="25" t="s">
        <v>46</v>
      </c>
      <c r="E371" s="25" t="s">
        <v>47</v>
      </c>
      <c r="F371" s="25" t="s">
        <v>103</v>
      </c>
      <c r="G371" s="25">
        <v>12.0</v>
      </c>
      <c r="H371" s="28">
        <v>1403.0</v>
      </c>
      <c r="I371" s="28">
        <v>16836.0</v>
      </c>
      <c r="J371" s="25">
        <v>5.0</v>
      </c>
      <c r="K371" s="28">
        <v>842.0</v>
      </c>
      <c r="L371" s="28">
        <v>15994.0</v>
      </c>
      <c r="M371" s="25" t="s">
        <v>68</v>
      </c>
      <c r="N371" s="25" t="s">
        <v>62</v>
      </c>
      <c r="O371" s="25" t="s">
        <v>69</v>
      </c>
      <c r="P371" s="15">
        <f t="shared" si="1"/>
        <v>11</v>
      </c>
    </row>
    <row r="372">
      <c r="A372" s="29">
        <v>20007.0</v>
      </c>
      <c r="B372" s="26">
        <v>45983.0</v>
      </c>
      <c r="C372" s="29" t="s">
        <v>80</v>
      </c>
      <c r="D372" s="29" t="s">
        <v>64</v>
      </c>
      <c r="E372" s="29" t="s">
        <v>47</v>
      </c>
      <c r="F372" s="29" t="s">
        <v>65</v>
      </c>
      <c r="G372" s="29">
        <v>3.0</v>
      </c>
      <c r="H372" s="30">
        <v>2480.0</v>
      </c>
      <c r="I372" s="30">
        <v>7440.0</v>
      </c>
      <c r="J372" s="29">
        <v>0.0</v>
      </c>
      <c r="K372" s="30">
        <v>0.0</v>
      </c>
      <c r="L372" s="30">
        <v>7440.0</v>
      </c>
      <c r="M372" s="29" t="s">
        <v>55</v>
      </c>
      <c r="N372" s="29" t="s">
        <v>62</v>
      </c>
      <c r="O372" s="29" t="s">
        <v>69</v>
      </c>
      <c r="P372" s="15">
        <f t="shared" si="1"/>
        <v>11</v>
      </c>
    </row>
    <row r="373">
      <c r="A373" s="34">
        <v>20311.0</v>
      </c>
      <c r="B373" s="26">
        <v>45983.0</v>
      </c>
      <c r="C373" s="34" t="s">
        <v>58</v>
      </c>
      <c r="D373" s="34" t="s">
        <v>25</v>
      </c>
      <c r="E373" s="34" t="s">
        <v>26</v>
      </c>
      <c r="F373" s="34" t="s">
        <v>100</v>
      </c>
      <c r="G373" s="34">
        <v>6.0</v>
      </c>
      <c r="H373" s="35">
        <v>620.0</v>
      </c>
      <c r="I373" s="35">
        <v>3720.0</v>
      </c>
      <c r="J373" s="34">
        <v>10.0</v>
      </c>
      <c r="K373" s="35">
        <v>372.0</v>
      </c>
      <c r="L373" s="35">
        <v>3348.0</v>
      </c>
      <c r="M373" s="34" t="s">
        <v>87</v>
      </c>
      <c r="N373" s="34" t="s">
        <v>72</v>
      </c>
      <c r="O373" s="34" t="s">
        <v>44</v>
      </c>
      <c r="P373" s="15">
        <f t="shared" si="1"/>
        <v>11</v>
      </c>
    </row>
    <row r="374">
      <c r="A374" s="20">
        <v>20396.0</v>
      </c>
      <c r="B374" s="26">
        <v>45983.0</v>
      </c>
      <c r="C374" s="20" t="s">
        <v>97</v>
      </c>
      <c r="D374" s="20" t="s">
        <v>25</v>
      </c>
      <c r="E374" s="20" t="s">
        <v>26</v>
      </c>
      <c r="F374" s="20" t="s">
        <v>100</v>
      </c>
      <c r="G374" s="20">
        <v>8.0</v>
      </c>
      <c r="H374" s="24">
        <v>565.0</v>
      </c>
      <c r="I374" s="24">
        <v>4520.0</v>
      </c>
      <c r="J374" s="20">
        <v>0.0</v>
      </c>
      <c r="K374" s="24">
        <v>0.0</v>
      </c>
      <c r="L374" s="24">
        <v>4520.0</v>
      </c>
      <c r="M374" s="20" t="s">
        <v>71</v>
      </c>
      <c r="N374" s="20" t="s">
        <v>56</v>
      </c>
      <c r="O374" s="20" t="s">
        <v>69</v>
      </c>
      <c r="P374" s="15">
        <f t="shared" si="1"/>
        <v>11</v>
      </c>
    </row>
    <row r="375">
      <c r="A375" s="34">
        <v>20177.0</v>
      </c>
      <c r="B375" s="26">
        <v>45984.0</v>
      </c>
      <c r="C375" s="34" t="s">
        <v>63</v>
      </c>
      <c r="D375" s="34" t="s">
        <v>64</v>
      </c>
      <c r="E375" s="34" t="s">
        <v>26</v>
      </c>
      <c r="F375" s="34" t="s">
        <v>104</v>
      </c>
      <c r="G375" s="34">
        <v>7.0</v>
      </c>
      <c r="H375" s="35">
        <v>458.0</v>
      </c>
      <c r="I375" s="35">
        <v>3206.0</v>
      </c>
      <c r="J375" s="34">
        <v>0.0</v>
      </c>
      <c r="K375" s="35">
        <v>0.0</v>
      </c>
      <c r="L375" s="35">
        <v>3206.0</v>
      </c>
      <c r="M375" s="34" t="s">
        <v>87</v>
      </c>
      <c r="N375" s="34" t="s">
        <v>50</v>
      </c>
      <c r="O375" s="34" t="s">
        <v>44</v>
      </c>
      <c r="P375" s="15">
        <f t="shared" si="1"/>
        <v>11</v>
      </c>
    </row>
    <row r="376">
      <c r="A376" s="20">
        <v>20226.0</v>
      </c>
      <c r="B376" s="26">
        <v>45984.0</v>
      </c>
      <c r="C376" s="20" t="s">
        <v>92</v>
      </c>
      <c r="D376" s="20" t="s">
        <v>25</v>
      </c>
      <c r="E376" s="20" t="s">
        <v>26</v>
      </c>
      <c r="F376" s="20" t="s">
        <v>100</v>
      </c>
      <c r="G376" s="20">
        <v>11.0</v>
      </c>
      <c r="H376" s="24">
        <v>483.0</v>
      </c>
      <c r="I376" s="24">
        <v>5313.0</v>
      </c>
      <c r="J376" s="20">
        <v>10.0</v>
      </c>
      <c r="K376" s="24">
        <v>531.0</v>
      </c>
      <c r="L376" s="24">
        <v>4782.0</v>
      </c>
      <c r="M376" s="20" t="s">
        <v>61</v>
      </c>
      <c r="N376" s="20" t="s">
        <v>72</v>
      </c>
      <c r="O376" s="20" t="s">
        <v>44</v>
      </c>
      <c r="P376" s="15">
        <f t="shared" si="1"/>
        <v>11</v>
      </c>
    </row>
    <row r="377">
      <c r="A377" s="63">
        <v>20001.0</v>
      </c>
      <c r="B377" s="64">
        <v>45985.0</v>
      </c>
      <c r="C377" s="36" t="s">
        <v>58</v>
      </c>
      <c r="D377" s="36" t="s">
        <v>46</v>
      </c>
      <c r="E377" s="22" t="s">
        <v>26</v>
      </c>
      <c r="F377" s="34" t="s">
        <v>94</v>
      </c>
      <c r="G377" s="34">
        <v>5.0</v>
      </c>
      <c r="H377" s="35">
        <v>370.0</v>
      </c>
      <c r="I377" s="35">
        <v>1850.0</v>
      </c>
      <c r="J377" s="34">
        <v>15.0</v>
      </c>
      <c r="K377" s="35">
        <v>278.0</v>
      </c>
      <c r="L377" s="35">
        <v>1572.0</v>
      </c>
      <c r="M377" s="34" t="s">
        <v>87</v>
      </c>
      <c r="N377" s="34" t="s">
        <v>62</v>
      </c>
      <c r="O377" s="34" t="s">
        <v>57</v>
      </c>
      <c r="P377" s="15">
        <f t="shared" si="1"/>
        <v>11</v>
      </c>
    </row>
    <row r="378">
      <c r="A378" s="20">
        <v>20204.0</v>
      </c>
      <c r="B378" s="26">
        <v>45986.0</v>
      </c>
      <c r="C378" s="20" t="s">
        <v>82</v>
      </c>
      <c r="D378" s="20" t="s">
        <v>52</v>
      </c>
      <c r="E378" s="20" t="s">
        <v>59</v>
      </c>
      <c r="F378" s="20" t="s">
        <v>60</v>
      </c>
      <c r="G378" s="20">
        <v>12.0</v>
      </c>
      <c r="H378" s="24">
        <v>428.0</v>
      </c>
      <c r="I378" s="24">
        <v>5136.0</v>
      </c>
      <c r="J378" s="20">
        <v>5.0</v>
      </c>
      <c r="K378" s="24">
        <v>257.0</v>
      </c>
      <c r="L378" s="24">
        <v>4879.0</v>
      </c>
      <c r="M378" s="20" t="s">
        <v>68</v>
      </c>
      <c r="N378" s="20" t="s">
        <v>56</v>
      </c>
      <c r="O378" s="20" t="s">
        <v>57</v>
      </c>
      <c r="P378" s="15">
        <f t="shared" si="1"/>
        <v>11</v>
      </c>
    </row>
    <row r="379">
      <c r="A379" s="25">
        <v>20148.0</v>
      </c>
      <c r="B379" s="26">
        <v>45988.0</v>
      </c>
      <c r="C379" s="25" t="s">
        <v>45</v>
      </c>
      <c r="D379" s="25" t="s">
        <v>46</v>
      </c>
      <c r="E379" s="25" t="s">
        <v>53</v>
      </c>
      <c r="F379" s="25" t="s">
        <v>48</v>
      </c>
      <c r="G379" s="25">
        <v>10.0</v>
      </c>
      <c r="H379" s="28">
        <v>613.0</v>
      </c>
      <c r="I379" s="28">
        <v>6130.0</v>
      </c>
      <c r="J379" s="25">
        <v>0.0</v>
      </c>
      <c r="K379" s="28">
        <v>0.0</v>
      </c>
      <c r="L379" s="28">
        <v>6130.0</v>
      </c>
      <c r="M379" s="25" t="s">
        <v>55</v>
      </c>
      <c r="N379" s="25" t="s">
        <v>43</v>
      </c>
      <c r="O379" s="25" t="s">
        <v>69</v>
      </c>
      <c r="P379" s="15">
        <f t="shared" si="1"/>
        <v>11</v>
      </c>
    </row>
    <row r="380">
      <c r="A380" s="20">
        <v>20370.0</v>
      </c>
      <c r="B380" s="26">
        <v>45988.0</v>
      </c>
      <c r="C380" s="20" t="s">
        <v>76</v>
      </c>
      <c r="D380" s="20" t="s">
        <v>64</v>
      </c>
      <c r="E380" s="20" t="s">
        <v>77</v>
      </c>
      <c r="F380" s="20" t="s">
        <v>78</v>
      </c>
      <c r="G380" s="20">
        <v>4.0</v>
      </c>
      <c r="H380" s="24">
        <v>2491.0</v>
      </c>
      <c r="I380" s="24">
        <v>9964.0</v>
      </c>
      <c r="J380" s="20">
        <v>20.0</v>
      </c>
      <c r="K380" s="24">
        <v>1993.0</v>
      </c>
      <c r="L380" s="24">
        <v>7971.0</v>
      </c>
      <c r="M380" s="20" t="s">
        <v>87</v>
      </c>
      <c r="N380" s="20" t="s">
        <v>43</v>
      </c>
      <c r="O380" s="20" t="s">
        <v>57</v>
      </c>
      <c r="P380" s="15">
        <f t="shared" si="1"/>
        <v>11</v>
      </c>
    </row>
    <row r="381">
      <c r="A381" s="25">
        <v>20016.0</v>
      </c>
      <c r="B381" s="26">
        <v>45990.0</v>
      </c>
      <c r="C381" s="25" t="s">
        <v>45</v>
      </c>
      <c r="D381" s="25" t="s">
        <v>46</v>
      </c>
      <c r="E381" s="25" t="s">
        <v>59</v>
      </c>
      <c r="F381" s="25" t="s">
        <v>83</v>
      </c>
      <c r="G381" s="25">
        <v>8.0</v>
      </c>
      <c r="H381" s="28">
        <v>92.0</v>
      </c>
      <c r="I381" s="28">
        <v>736.0</v>
      </c>
      <c r="J381" s="25">
        <v>0.0</v>
      </c>
      <c r="K381" s="28">
        <v>0.0</v>
      </c>
      <c r="L381" s="28">
        <v>736.0</v>
      </c>
      <c r="M381" s="25" t="s">
        <v>49</v>
      </c>
      <c r="N381" s="25" t="s">
        <v>56</v>
      </c>
      <c r="O381" s="25" t="s">
        <v>69</v>
      </c>
      <c r="P381" s="15">
        <f t="shared" si="1"/>
        <v>11</v>
      </c>
    </row>
    <row r="382">
      <c r="A382" s="29">
        <v>20253.0</v>
      </c>
      <c r="B382" s="26">
        <v>45990.0</v>
      </c>
      <c r="C382" s="29" t="s">
        <v>80</v>
      </c>
      <c r="D382" s="29" t="s">
        <v>64</v>
      </c>
      <c r="E382" s="29" t="s">
        <v>59</v>
      </c>
      <c r="F382" s="29" t="s">
        <v>85</v>
      </c>
      <c r="G382" s="29">
        <v>12.0</v>
      </c>
      <c r="H382" s="30">
        <v>137.0</v>
      </c>
      <c r="I382" s="30">
        <v>1644.0</v>
      </c>
      <c r="J382" s="29">
        <v>10.0</v>
      </c>
      <c r="K382" s="30">
        <v>164.0</v>
      </c>
      <c r="L382" s="30">
        <v>1480.0</v>
      </c>
      <c r="M382" s="29" t="s">
        <v>42</v>
      </c>
      <c r="N382" s="29" t="s">
        <v>50</v>
      </c>
      <c r="O382" s="29" t="s">
        <v>69</v>
      </c>
      <c r="P382" s="15">
        <f t="shared" si="1"/>
        <v>11</v>
      </c>
    </row>
    <row r="383">
      <c r="A383" s="25">
        <v>20260.0</v>
      </c>
      <c r="B383" s="26">
        <v>45990.0</v>
      </c>
      <c r="C383" s="25" t="s">
        <v>92</v>
      </c>
      <c r="D383" s="25" t="s">
        <v>25</v>
      </c>
      <c r="E383" s="25" t="s">
        <v>53</v>
      </c>
      <c r="F383" s="25" t="s">
        <v>98</v>
      </c>
      <c r="G383" s="25">
        <v>7.0</v>
      </c>
      <c r="H383" s="28">
        <v>799.0</v>
      </c>
      <c r="I383" s="28">
        <v>5593.0</v>
      </c>
      <c r="J383" s="25">
        <v>0.0</v>
      </c>
      <c r="K383" s="28">
        <v>0.0</v>
      </c>
      <c r="L383" s="28">
        <v>5593.0</v>
      </c>
      <c r="M383" s="25" t="s">
        <v>42</v>
      </c>
      <c r="N383" s="25" t="s">
        <v>56</v>
      </c>
      <c r="O383" s="25" t="s">
        <v>57</v>
      </c>
      <c r="P383" s="15">
        <f t="shared" si="1"/>
        <v>11</v>
      </c>
    </row>
    <row r="384">
      <c r="A384" s="29">
        <v>20021.0</v>
      </c>
      <c r="B384" s="26">
        <v>45991.0</v>
      </c>
      <c r="C384" s="29" t="s">
        <v>97</v>
      </c>
      <c r="D384" s="29" t="s">
        <v>25</v>
      </c>
      <c r="E384" s="29" t="s">
        <v>26</v>
      </c>
      <c r="F384" s="29" t="s">
        <v>100</v>
      </c>
      <c r="G384" s="29">
        <v>3.0</v>
      </c>
      <c r="H384" s="30">
        <v>536.0</v>
      </c>
      <c r="I384" s="30">
        <v>1608.0</v>
      </c>
      <c r="J384" s="29">
        <v>0.0</v>
      </c>
      <c r="K384" s="30">
        <v>0.0</v>
      </c>
      <c r="L384" s="30">
        <v>1608.0</v>
      </c>
      <c r="M384" s="29" t="s">
        <v>68</v>
      </c>
      <c r="N384" s="29" t="s">
        <v>43</v>
      </c>
      <c r="O384" s="29" t="s">
        <v>69</v>
      </c>
      <c r="P384" s="15">
        <f t="shared" si="1"/>
        <v>11</v>
      </c>
    </row>
    <row r="385">
      <c r="A385" s="25">
        <v>20158.0</v>
      </c>
      <c r="B385" s="26">
        <v>45991.0</v>
      </c>
      <c r="C385" s="25" t="s">
        <v>99</v>
      </c>
      <c r="D385" s="25" t="s">
        <v>64</v>
      </c>
      <c r="E385" s="25" t="s">
        <v>47</v>
      </c>
      <c r="F385" s="25" t="s">
        <v>27</v>
      </c>
      <c r="G385" s="25">
        <v>10.0</v>
      </c>
      <c r="H385" s="28">
        <v>1385.0</v>
      </c>
      <c r="I385" s="28">
        <v>13850.0</v>
      </c>
      <c r="J385" s="25">
        <v>15.0</v>
      </c>
      <c r="K385" s="28">
        <v>2078.0</v>
      </c>
      <c r="L385" s="28">
        <v>11772.0</v>
      </c>
      <c r="M385" s="25" t="s">
        <v>96</v>
      </c>
      <c r="N385" s="25" t="s">
        <v>43</v>
      </c>
      <c r="O385" s="25" t="s">
        <v>69</v>
      </c>
      <c r="P385" s="15">
        <f t="shared" si="1"/>
        <v>11</v>
      </c>
    </row>
    <row r="386">
      <c r="A386" s="20">
        <v>20178.0</v>
      </c>
      <c r="B386" s="26">
        <v>45992.0</v>
      </c>
      <c r="C386" s="20" t="s">
        <v>82</v>
      </c>
      <c r="D386" s="20" t="s">
        <v>52</v>
      </c>
      <c r="E386" s="20" t="s">
        <v>59</v>
      </c>
      <c r="F386" s="20" t="s">
        <v>60</v>
      </c>
      <c r="G386" s="20">
        <v>13.0</v>
      </c>
      <c r="H386" s="24">
        <v>390.0</v>
      </c>
      <c r="I386" s="24">
        <v>5070.0</v>
      </c>
      <c r="J386" s="20">
        <v>20.0</v>
      </c>
      <c r="K386" s="24">
        <v>1014.0</v>
      </c>
      <c r="L386" s="24">
        <v>4056.0</v>
      </c>
      <c r="M386" s="20" t="s">
        <v>71</v>
      </c>
      <c r="N386" s="20" t="s">
        <v>56</v>
      </c>
      <c r="O386" s="20" t="s">
        <v>69</v>
      </c>
      <c r="P386" s="15">
        <f t="shared" si="1"/>
        <v>12</v>
      </c>
    </row>
    <row r="387">
      <c r="A387" s="34">
        <v>20121.0</v>
      </c>
      <c r="B387" s="26">
        <v>45993.0</v>
      </c>
      <c r="C387" s="34" t="s">
        <v>92</v>
      </c>
      <c r="D387" s="34" t="s">
        <v>25</v>
      </c>
      <c r="E387" s="34" t="s">
        <v>77</v>
      </c>
      <c r="F387" s="34" t="s">
        <v>105</v>
      </c>
      <c r="G387" s="34">
        <v>8.0</v>
      </c>
      <c r="H387" s="35">
        <v>7080.0</v>
      </c>
      <c r="I387" s="35">
        <v>56640.0</v>
      </c>
      <c r="J387" s="34">
        <v>15.0</v>
      </c>
      <c r="K387" s="35">
        <v>8496.0</v>
      </c>
      <c r="L387" s="35">
        <v>48144.0</v>
      </c>
      <c r="M387" s="34" t="s">
        <v>49</v>
      </c>
      <c r="N387" s="34" t="s">
        <v>56</v>
      </c>
      <c r="O387" s="34" t="s">
        <v>44</v>
      </c>
      <c r="P387" s="15">
        <f t="shared" si="1"/>
        <v>12</v>
      </c>
    </row>
    <row r="388">
      <c r="A388" s="20">
        <v>20244.0</v>
      </c>
      <c r="B388" s="26">
        <v>45993.0</v>
      </c>
      <c r="C388" s="20" t="s">
        <v>76</v>
      </c>
      <c r="D388" s="20" t="s">
        <v>64</v>
      </c>
      <c r="E388" s="20" t="s">
        <v>77</v>
      </c>
      <c r="F388" s="20" t="s">
        <v>78</v>
      </c>
      <c r="G388" s="20">
        <v>3.0</v>
      </c>
      <c r="H388" s="24">
        <v>7686.0</v>
      </c>
      <c r="I388" s="24">
        <v>23058.0</v>
      </c>
      <c r="J388" s="20">
        <v>5.0</v>
      </c>
      <c r="K388" s="24">
        <v>1153.0</v>
      </c>
      <c r="L388" s="24">
        <v>21905.0</v>
      </c>
      <c r="M388" s="20" t="s">
        <v>68</v>
      </c>
      <c r="N388" s="20" t="s">
        <v>56</v>
      </c>
      <c r="O388" s="20" t="s">
        <v>57</v>
      </c>
      <c r="P388" s="15">
        <f t="shared" si="1"/>
        <v>12</v>
      </c>
    </row>
    <row r="389">
      <c r="A389" s="25">
        <v>20372.0</v>
      </c>
      <c r="B389" s="26">
        <v>45993.0</v>
      </c>
      <c r="C389" s="25" t="s">
        <v>63</v>
      </c>
      <c r="D389" s="25" t="s">
        <v>64</v>
      </c>
      <c r="E389" s="25" t="s">
        <v>26</v>
      </c>
      <c r="F389" s="25" t="s">
        <v>74</v>
      </c>
      <c r="G389" s="25">
        <v>10.0</v>
      </c>
      <c r="H389" s="28">
        <v>191.0</v>
      </c>
      <c r="I389" s="28">
        <v>1910.0</v>
      </c>
      <c r="J389" s="25">
        <v>5.0</v>
      </c>
      <c r="K389" s="28">
        <v>96.0</v>
      </c>
      <c r="L389" s="28">
        <v>1814.0</v>
      </c>
      <c r="M389" s="25" t="s">
        <v>55</v>
      </c>
      <c r="N389" s="25" t="s">
        <v>56</v>
      </c>
      <c r="O389" s="25" t="s">
        <v>57</v>
      </c>
      <c r="P389" s="15">
        <f t="shared" si="1"/>
        <v>12</v>
      </c>
    </row>
    <row r="390">
      <c r="A390" s="29">
        <v>20399.0</v>
      </c>
      <c r="B390" s="26">
        <v>45993.0</v>
      </c>
      <c r="C390" s="29" t="s">
        <v>97</v>
      </c>
      <c r="D390" s="29" t="s">
        <v>25</v>
      </c>
      <c r="E390" s="29" t="s">
        <v>77</v>
      </c>
      <c r="F390" s="29" t="s">
        <v>90</v>
      </c>
      <c r="G390" s="29">
        <v>5.0</v>
      </c>
      <c r="H390" s="30">
        <v>3792.0</v>
      </c>
      <c r="I390" s="30">
        <v>18960.0</v>
      </c>
      <c r="J390" s="29">
        <v>10.0</v>
      </c>
      <c r="K390" s="30">
        <v>1896.0</v>
      </c>
      <c r="L390" s="30">
        <v>17064.0</v>
      </c>
      <c r="M390" s="29" t="s">
        <v>106</v>
      </c>
      <c r="N390" s="29" t="s">
        <v>56</v>
      </c>
      <c r="O390" s="29" t="s">
        <v>69</v>
      </c>
      <c r="P390" s="15">
        <f t="shared" si="1"/>
        <v>12</v>
      </c>
    </row>
    <row r="391">
      <c r="A391" s="34">
        <v>20141.0</v>
      </c>
      <c r="B391" s="26">
        <v>45994.0</v>
      </c>
      <c r="C391" s="34" t="s">
        <v>58</v>
      </c>
      <c r="D391" s="34" t="s">
        <v>25</v>
      </c>
      <c r="E391" s="34" t="s">
        <v>47</v>
      </c>
      <c r="F391" s="34" t="s">
        <v>67</v>
      </c>
      <c r="G391" s="34">
        <v>3.0</v>
      </c>
      <c r="H391" s="35">
        <v>916.0</v>
      </c>
      <c r="I391" s="35">
        <v>2748.0</v>
      </c>
      <c r="J391" s="34">
        <v>20.0</v>
      </c>
      <c r="K391" s="35">
        <v>550.0</v>
      </c>
      <c r="L391" s="35">
        <v>2198.0</v>
      </c>
      <c r="M391" s="34" t="s">
        <v>42</v>
      </c>
      <c r="N391" s="34" t="s">
        <v>43</v>
      </c>
      <c r="O391" s="34" t="s">
        <v>57</v>
      </c>
      <c r="P391" s="15">
        <f t="shared" si="1"/>
        <v>12</v>
      </c>
    </row>
    <row r="392">
      <c r="A392" s="29">
        <v>20329.0</v>
      </c>
      <c r="B392" s="26">
        <v>45996.0</v>
      </c>
      <c r="C392" s="29" t="s">
        <v>58</v>
      </c>
      <c r="D392" s="29" t="s">
        <v>25</v>
      </c>
      <c r="E392" s="29" t="s">
        <v>26</v>
      </c>
      <c r="F392" s="29" t="s">
        <v>104</v>
      </c>
      <c r="G392" s="29">
        <v>12.0</v>
      </c>
      <c r="H392" s="30">
        <v>238.0</v>
      </c>
      <c r="I392" s="30">
        <v>2856.0</v>
      </c>
      <c r="J392" s="29">
        <v>10.0</v>
      </c>
      <c r="K392" s="30">
        <v>286.0</v>
      </c>
      <c r="L392" s="30">
        <v>2570.0</v>
      </c>
      <c r="M392" s="29" t="s">
        <v>96</v>
      </c>
      <c r="N392" s="29" t="s">
        <v>43</v>
      </c>
      <c r="O392" s="29" t="s">
        <v>57</v>
      </c>
      <c r="P392" s="15">
        <f t="shared" si="1"/>
        <v>12</v>
      </c>
    </row>
    <row r="393">
      <c r="A393" s="25">
        <v>20386.0</v>
      </c>
      <c r="B393" s="26">
        <v>45996.0</v>
      </c>
      <c r="C393" s="25" t="s">
        <v>89</v>
      </c>
      <c r="D393" s="25" t="s">
        <v>46</v>
      </c>
      <c r="E393" s="25" t="s">
        <v>26</v>
      </c>
      <c r="F393" s="25" t="s">
        <v>100</v>
      </c>
      <c r="G393" s="25">
        <v>8.0</v>
      </c>
      <c r="H393" s="28">
        <v>602.0</v>
      </c>
      <c r="I393" s="28">
        <v>4816.0</v>
      </c>
      <c r="J393" s="25">
        <v>20.0</v>
      </c>
      <c r="K393" s="28">
        <v>963.0</v>
      </c>
      <c r="L393" s="28">
        <v>3853.0</v>
      </c>
      <c r="M393" s="25" t="s">
        <v>61</v>
      </c>
      <c r="N393" s="25" t="s">
        <v>56</v>
      </c>
      <c r="O393" s="25" t="s">
        <v>69</v>
      </c>
      <c r="P393" s="15">
        <f t="shared" si="1"/>
        <v>12</v>
      </c>
    </row>
    <row r="394">
      <c r="A394" s="29">
        <v>20041.0</v>
      </c>
      <c r="B394" s="26">
        <v>45997.0</v>
      </c>
      <c r="C394" s="29" t="s">
        <v>84</v>
      </c>
      <c r="D394" s="29" t="s">
        <v>46</v>
      </c>
      <c r="E394" s="29" t="s">
        <v>26</v>
      </c>
      <c r="F394" s="29" t="s">
        <v>100</v>
      </c>
      <c r="G394" s="29">
        <v>11.0</v>
      </c>
      <c r="H394" s="30">
        <v>437.0</v>
      </c>
      <c r="I394" s="30">
        <v>4807.0</v>
      </c>
      <c r="J394" s="29">
        <v>0.0</v>
      </c>
      <c r="K394" s="30">
        <v>0.0</v>
      </c>
      <c r="L394" s="30">
        <v>4807.0</v>
      </c>
      <c r="M394" s="29" t="s">
        <v>106</v>
      </c>
      <c r="N394" s="29" t="s">
        <v>43</v>
      </c>
      <c r="O394" s="29" t="s">
        <v>57</v>
      </c>
      <c r="P394" s="15">
        <f t="shared" si="1"/>
        <v>12</v>
      </c>
    </row>
    <row r="395">
      <c r="A395" s="25">
        <v>20272.0</v>
      </c>
      <c r="B395" s="26">
        <v>45997.0</v>
      </c>
      <c r="C395" s="25" t="s">
        <v>76</v>
      </c>
      <c r="D395" s="25" t="s">
        <v>64</v>
      </c>
      <c r="E395" s="25" t="s">
        <v>77</v>
      </c>
      <c r="F395" s="25" t="s">
        <v>101</v>
      </c>
      <c r="G395" s="25">
        <v>5.0</v>
      </c>
      <c r="H395" s="28">
        <v>8486.0</v>
      </c>
      <c r="I395" s="28">
        <v>42430.0</v>
      </c>
      <c r="J395" s="25">
        <v>0.0</v>
      </c>
      <c r="K395" s="28">
        <v>0.0</v>
      </c>
      <c r="L395" s="28">
        <v>42430.0</v>
      </c>
      <c r="M395" s="25" t="s">
        <v>42</v>
      </c>
      <c r="N395" s="25" t="s">
        <v>72</v>
      </c>
      <c r="O395" s="25" t="s">
        <v>69</v>
      </c>
      <c r="P395" s="15">
        <f t="shared" si="1"/>
        <v>12</v>
      </c>
    </row>
    <row r="396">
      <c r="A396" s="29">
        <v>20355.0</v>
      </c>
      <c r="B396" s="26">
        <v>45998.0</v>
      </c>
      <c r="C396" s="29" t="s">
        <v>93</v>
      </c>
      <c r="D396" s="29" t="s">
        <v>25</v>
      </c>
      <c r="E396" s="29" t="s">
        <v>59</v>
      </c>
      <c r="F396" s="29" t="s">
        <v>86</v>
      </c>
      <c r="G396" s="29">
        <v>7.0</v>
      </c>
      <c r="H396" s="30">
        <v>66.0</v>
      </c>
      <c r="I396" s="30">
        <v>462.0</v>
      </c>
      <c r="J396" s="29">
        <v>0.0</v>
      </c>
      <c r="K396" s="30">
        <v>0.0</v>
      </c>
      <c r="L396" s="30">
        <v>462.0</v>
      </c>
      <c r="M396" s="29" t="s">
        <v>49</v>
      </c>
      <c r="N396" s="29" t="s">
        <v>43</v>
      </c>
      <c r="O396" s="29" t="s">
        <v>69</v>
      </c>
      <c r="P396" s="15">
        <f t="shared" si="1"/>
        <v>12</v>
      </c>
    </row>
    <row r="397">
      <c r="A397" s="25">
        <v>20088.0</v>
      </c>
      <c r="B397" s="26">
        <v>45999.0</v>
      </c>
      <c r="C397" s="25" t="s">
        <v>97</v>
      </c>
      <c r="D397" s="25" t="s">
        <v>25</v>
      </c>
      <c r="E397" s="25" t="s">
        <v>59</v>
      </c>
      <c r="F397" s="25" t="s">
        <v>85</v>
      </c>
      <c r="G397" s="25">
        <v>11.0</v>
      </c>
      <c r="H397" s="28">
        <v>236.0</v>
      </c>
      <c r="I397" s="28">
        <v>2596.0</v>
      </c>
      <c r="J397" s="25">
        <v>15.0</v>
      </c>
      <c r="K397" s="28">
        <v>389.0</v>
      </c>
      <c r="L397" s="28">
        <v>2207.0</v>
      </c>
      <c r="M397" s="25" t="s">
        <v>61</v>
      </c>
      <c r="N397" s="25" t="s">
        <v>72</v>
      </c>
      <c r="O397" s="25" t="s">
        <v>44</v>
      </c>
      <c r="P397" s="15">
        <f t="shared" si="1"/>
        <v>12</v>
      </c>
    </row>
    <row r="398">
      <c r="A398" s="20">
        <v>20018.0</v>
      </c>
      <c r="B398" s="26">
        <v>46000.0</v>
      </c>
      <c r="C398" s="20" t="s">
        <v>82</v>
      </c>
      <c r="D398" s="20" t="s">
        <v>52</v>
      </c>
      <c r="E398" s="20" t="s">
        <v>77</v>
      </c>
      <c r="F398" s="20" t="s">
        <v>88</v>
      </c>
      <c r="G398" s="20">
        <v>3.0</v>
      </c>
      <c r="H398" s="24">
        <v>2890.0</v>
      </c>
      <c r="I398" s="24">
        <v>8670.0</v>
      </c>
      <c r="J398" s="20">
        <v>0.0</v>
      </c>
      <c r="K398" s="24">
        <v>0.0</v>
      </c>
      <c r="L398" s="24">
        <v>8670.0</v>
      </c>
      <c r="M398" s="20" t="s">
        <v>71</v>
      </c>
      <c r="N398" s="20" t="s">
        <v>43</v>
      </c>
      <c r="O398" s="20" t="s">
        <v>44</v>
      </c>
      <c r="P398" s="15">
        <f t="shared" si="1"/>
        <v>12</v>
      </c>
    </row>
    <row r="399">
      <c r="A399" s="25">
        <v>20340.0</v>
      </c>
      <c r="B399" s="26">
        <v>46000.0</v>
      </c>
      <c r="C399" s="25" t="s">
        <v>84</v>
      </c>
      <c r="D399" s="25" t="s">
        <v>46</v>
      </c>
      <c r="E399" s="25" t="s">
        <v>47</v>
      </c>
      <c r="F399" s="25" t="s">
        <v>103</v>
      </c>
      <c r="G399" s="25">
        <v>12.0</v>
      </c>
      <c r="H399" s="28">
        <v>1217.0</v>
      </c>
      <c r="I399" s="28">
        <v>14604.0</v>
      </c>
      <c r="J399" s="25">
        <v>5.0</v>
      </c>
      <c r="K399" s="28">
        <v>730.0</v>
      </c>
      <c r="L399" s="28">
        <v>13874.0</v>
      </c>
      <c r="M399" s="25" t="s">
        <v>55</v>
      </c>
      <c r="N399" s="25" t="s">
        <v>43</v>
      </c>
      <c r="O399" s="25" t="s">
        <v>69</v>
      </c>
      <c r="P399" s="15">
        <f t="shared" si="1"/>
        <v>12</v>
      </c>
    </row>
    <row r="400">
      <c r="A400" s="29">
        <v>20361.0</v>
      </c>
      <c r="B400" s="26">
        <v>46000.0</v>
      </c>
      <c r="C400" s="29" t="s">
        <v>45</v>
      </c>
      <c r="D400" s="29" t="s">
        <v>46</v>
      </c>
      <c r="E400" s="29" t="s">
        <v>59</v>
      </c>
      <c r="F400" s="29" t="s">
        <v>60</v>
      </c>
      <c r="G400" s="29">
        <v>15.0</v>
      </c>
      <c r="H400" s="30">
        <v>224.0</v>
      </c>
      <c r="I400" s="30">
        <v>3360.0</v>
      </c>
      <c r="J400" s="29">
        <v>20.0</v>
      </c>
      <c r="K400" s="30">
        <v>672.0</v>
      </c>
      <c r="L400" s="30">
        <v>2688.0</v>
      </c>
      <c r="M400" s="29" t="s">
        <v>71</v>
      </c>
      <c r="N400" s="29" t="s">
        <v>43</v>
      </c>
      <c r="O400" s="29" t="s">
        <v>44</v>
      </c>
      <c r="P400" s="15">
        <f t="shared" si="1"/>
        <v>12</v>
      </c>
    </row>
    <row r="401">
      <c r="A401" s="34">
        <v>20333.0</v>
      </c>
      <c r="B401" s="26">
        <v>46001.0</v>
      </c>
      <c r="C401" s="34" t="s">
        <v>92</v>
      </c>
      <c r="D401" s="34" t="s">
        <v>25</v>
      </c>
      <c r="E401" s="34" t="s">
        <v>26</v>
      </c>
      <c r="F401" s="34" t="s">
        <v>70</v>
      </c>
      <c r="G401" s="34">
        <v>11.0</v>
      </c>
      <c r="H401" s="35">
        <v>625.0</v>
      </c>
      <c r="I401" s="35">
        <v>6875.0</v>
      </c>
      <c r="J401" s="34">
        <v>15.0</v>
      </c>
      <c r="K401" s="35">
        <v>1031.0</v>
      </c>
      <c r="L401" s="35">
        <v>5844.0</v>
      </c>
      <c r="M401" s="34" t="s">
        <v>71</v>
      </c>
      <c r="N401" s="34" t="s">
        <v>72</v>
      </c>
      <c r="O401" s="34" t="s">
        <v>57</v>
      </c>
      <c r="P401" s="15">
        <f t="shared" si="1"/>
        <v>12</v>
      </c>
    </row>
    <row r="402">
      <c r="A402" s="29">
        <v>20353.0</v>
      </c>
      <c r="B402" s="26">
        <v>46001.0</v>
      </c>
      <c r="C402" s="29" t="s">
        <v>93</v>
      </c>
      <c r="D402" s="29" t="s">
        <v>25</v>
      </c>
      <c r="E402" s="29" t="s">
        <v>77</v>
      </c>
      <c r="F402" s="29" t="s">
        <v>101</v>
      </c>
      <c r="G402" s="29">
        <v>13.0</v>
      </c>
      <c r="H402" s="30">
        <v>3247.0</v>
      </c>
      <c r="I402" s="30">
        <v>42211.0</v>
      </c>
      <c r="J402" s="29">
        <v>20.0</v>
      </c>
      <c r="K402" s="30">
        <v>8442.0</v>
      </c>
      <c r="L402" s="30">
        <v>33769.0</v>
      </c>
      <c r="M402" s="29" t="s">
        <v>81</v>
      </c>
      <c r="N402" s="29" t="s">
        <v>72</v>
      </c>
      <c r="O402" s="29" t="s">
        <v>69</v>
      </c>
      <c r="P402" s="15">
        <f t="shared" si="1"/>
        <v>12</v>
      </c>
    </row>
    <row r="403">
      <c r="A403" s="34">
        <v>20095.0</v>
      </c>
      <c r="B403" s="26">
        <v>46003.0</v>
      </c>
      <c r="C403" s="34" t="s">
        <v>63</v>
      </c>
      <c r="D403" s="34" t="s">
        <v>64</v>
      </c>
      <c r="E403" s="34" t="s">
        <v>59</v>
      </c>
      <c r="F403" s="34" t="s">
        <v>79</v>
      </c>
      <c r="G403" s="34">
        <v>10.0</v>
      </c>
      <c r="H403" s="35">
        <v>173.0</v>
      </c>
      <c r="I403" s="35">
        <v>1730.0</v>
      </c>
      <c r="J403" s="34">
        <v>15.0</v>
      </c>
      <c r="K403" s="35">
        <v>260.0</v>
      </c>
      <c r="L403" s="35">
        <v>1470.0</v>
      </c>
      <c r="M403" s="34" t="s">
        <v>42</v>
      </c>
      <c r="N403" s="34" t="s">
        <v>72</v>
      </c>
      <c r="O403" s="34" t="s">
        <v>57</v>
      </c>
      <c r="P403" s="15">
        <f t="shared" si="1"/>
        <v>12</v>
      </c>
    </row>
    <row r="404">
      <c r="A404" s="29">
        <v>20407.0</v>
      </c>
      <c r="B404" s="26">
        <v>46004.0</v>
      </c>
      <c r="C404" s="29" t="s">
        <v>82</v>
      </c>
      <c r="D404" s="29" t="s">
        <v>52</v>
      </c>
      <c r="E404" s="29" t="s">
        <v>47</v>
      </c>
      <c r="F404" s="29" t="s">
        <v>91</v>
      </c>
      <c r="G404" s="29">
        <v>13.0</v>
      </c>
      <c r="H404" s="30">
        <v>1490.0</v>
      </c>
      <c r="I404" s="30">
        <v>19370.0</v>
      </c>
      <c r="J404" s="29">
        <v>5.0</v>
      </c>
      <c r="K404" s="30">
        <v>968.0</v>
      </c>
      <c r="L404" s="30">
        <v>18402.0</v>
      </c>
      <c r="M404" s="29" t="s">
        <v>49</v>
      </c>
      <c r="N404" s="29" t="s">
        <v>72</v>
      </c>
      <c r="O404" s="29" t="s">
        <v>44</v>
      </c>
      <c r="P404" s="15">
        <f t="shared" si="1"/>
        <v>12</v>
      </c>
    </row>
    <row r="405">
      <c r="A405" s="34">
        <v>20127.0</v>
      </c>
      <c r="B405" s="26">
        <v>46005.0</v>
      </c>
      <c r="C405" s="34" t="s">
        <v>51</v>
      </c>
      <c r="D405" s="34" t="s">
        <v>52</v>
      </c>
      <c r="E405" s="34" t="s">
        <v>53</v>
      </c>
      <c r="F405" s="34" t="s">
        <v>95</v>
      </c>
      <c r="G405" s="34">
        <v>12.0</v>
      </c>
      <c r="H405" s="35">
        <v>465.0</v>
      </c>
      <c r="I405" s="35">
        <v>5580.0</v>
      </c>
      <c r="J405" s="34">
        <v>0.0</v>
      </c>
      <c r="K405" s="35">
        <v>0.0</v>
      </c>
      <c r="L405" s="35">
        <v>5580.0</v>
      </c>
      <c r="M405" s="34" t="s">
        <v>96</v>
      </c>
      <c r="N405" s="34" t="s">
        <v>43</v>
      </c>
      <c r="O405" s="34" t="s">
        <v>69</v>
      </c>
      <c r="P405" s="15">
        <f t="shared" si="1"/>
        <v>12</v>
      </c>
    </row>
    <row r="406">
      <c r="A406" s="20">
        <v>20132.0</v>
      </c>
      <c r="B406" s="26">
        <v>46005.0</v>
      </c>
      <c r="C406" s="20" t="s">
        <v>73</v>
      </c>
      <c r="D406" s="20" t="s">
        <v>52</v>
      </c>
      <c r="E406" s="20" t="s">
        <v>59</v>
      </c>
      <c r="F406" s="20" t="s">
        <v>85</v>
      </c>
      <c r="G406" s="20">
        <v>13.0</v>
      </c>
      <c r="H406" s="24">
        <v>274.0</v>
      </c>
      <c r="I406" s="24">
        <v>3562.0</v>
      </c>
      <c r="J406" s="20">
        <v>20.0</v>
      </c>
      <c r="K406" s="24">
        <v>712.0</v>
      </c>
      <c r="L406" s="24">
        <v>2850.0</v>
      </c>
      <c r="M406" s="20" t="s">
        <v>106</v>
      </c>
      <c r="N406" s="20" t="s">
        <v>56</v>
      </c>
      <c r="O406" s="20" t="s">
        <v>69</v>
      </c>
      <c r="P406" s="15">
        <f t="shared" si="1"/>
        <v>12</v>
      </c>
    </row>
    <row r="407">
      <c r="A407" s="25">
        <v>20228.0</v>
      </c>
      <c r="B407" s="26">
        <v>46005.0</v>
      </c>
      <c r="C407" s="25" t="s">
        <v>76</v>
      </c>
      <c r="D407" s="25" t="s">
        <v>64</v>
      </c>
      <c r="E407" s="25" t="s">
        <v>53</v>
      </c>
      <c r="F407" s="25" t="s">
        <v>102</v>
      </c>
      <c r="G407" s="25">
        <v>8.0</v>
      </c>
      <c r="H407" s="28">
        <v>1150.0</v>
      </c>
      <c r="I407" s="28">
        <v>9200.0</v>
      </c>
      <c r="J407" s="25">
        <v>20.0</v>
      </c>
      <c r="K407" s="28">
        <v>1840.0</v>
      </c>
      <c r="L407" s="28">
        <v>7360.0</v>
      </c>
      <c r="M407" s="25" t="s">
        <v>68</v>
      </c>
      <c r="N407" s="25" t="s">
        <v>72</v>
      </c>
      <c r="O407" s="25" t="s">
        <v>44</v>
      </c>
      <c r="P407" s="15">
        <f t="shared" si="1"/>
        <v>12</v>
      </c>
    </row>
    <row r="408">
      <c r="A408" s="20">
        <v>20032.0</v>
      </c>
      <c r="B408" s="26">
        <v>46007.0</v>
      </c>
      <c r="C408" s="20" t="s">
        <v>63</v>
      </c>
      <c r="D408" s="20" t="s">
        <v>64</v>
      </c>
      <c r="E408" s="20" t="s">
        <v>26</v>
      </c>
      <c r="F408" s="20" t="s">
        <v>74</v>
      </c>
      <c r="G408" s="20">
        <v>13.0</v>
      </c>
      <c r="H408" s="24">
        <v>536.0</v>
      </c>
      <c r="I408" s="24">
        <v>6968.0</v>
      </c>
      <c r="J408" s="20">
        <v>20.0</v>
      </c>
      <c r="K408" s="24">
        <v>1394.0</v>
      </c>
      <c r="L408" s="24">
        <v>5574.0</v>
      </c>
      <c r="M408" s="20" t="s">
        <v>68</v>
      </c>
      <c r="N408" s="20" t="s">
        <v>50</v>
      </c>
      <c r="O408" s="20" t="s">
        <v>44</v>
      </c>
      <c r="P408" s="15">
        <f t="shared" si="1"/>
        <v>12</v>
      </c>
    </row>
    <row r="409">
      <c r="A409" s="34">
        <v>20159.0</v>
      </c>
      <c r="B409" s="26">
        <v>46008.0</v>
      </c>
      <c r="C409" s="34" t="s">
        <v>51</v>
      </c>
      <c r="D409" s="34" t="s">
        <v>52</v>
      </c>
      <c r="E409" s="34" t="s">
        <v>53</v>
      </c>
      <c r="F409" s="34" t="s">
        <v>48</v>
      </c>
      <c r="G409" s="34">
        <v>2.0</v>
      </c>
      <c r="H409" s="35">
        <v>1199.0</v>
      </c>
      <c r="I409" s="35">
        <v>2398.0</v>
      </c>
      <c r="J409" s="34">
        <v>5.0</v>
      </c>
      <c r="K409" s="35">
        <v>120.0</v>
      </c>
      <c r="L409" s="35">
        <v>2278.0</v>
      </c>
      <c r="M409" s="34" t="s">
        <v>106</v>
      </c>
      <c r="N409" s="34" t="s">
        <v>72</v>
      </c>
      <c r="O409" s="34" t="s">
        <v>57</v>
      </c>
      <c r="P409" s="15">
        <f t="shared" si="1"/>
        <v>12</v>
      </c>
    </row>
    <row r="410">
      <c r="A410" s="29">
        <v>20219.0</v>
      </c>
      <c r="B410" s="26">
        <v>46008.0</v>
      </c>
      <c r="C410" s="29" t="s">
        <v>51</v>
      </c>
      <c r="D410" s="29" t="s">
        <v>52</v>
      </c>
      <c r="E410" s="29" t="s">
        <v>77</v>
      </c>
      <c r="F410" s="29" t="s">
        <v>78</v>
      </c>
      <c r="G410" s="29">
        <v>5.0</v>
      </c>
      <c r="H410" s="30">
        <v>3098.0</v>
      </c>
      <c r="I410" s="30">
        <v>15490.0</v>
      </c>
      <c r="J410" s="29">
        <v>0.0</v>
      </c>
      <c r="K410" s="30">
        <v>0.0</v>
      </c>
      <c r="L410" s="30">
        <v>15490.0</v>
      </c>
      <c r="M410" s="29" t="s">
        <v>61</v>
      </c>
      <c r="N410" s="29" t="s">
        <v>72</v>
      </c>
      <c r="O410" s="29" t="s">
        <v>44</v>
      </c>
      <c r="P410" s="15">
        <f t="shared" si="1"/>
        <v>12</v>
      </c>
    </row>
    <row r="411">
      <c r="A411" s="34">
        <v>20327.0</v>
      </c>
      <c r="B411" s="26">
        <v>46009.0</v>
      </c>
      <c r="C411" s="34" t="s">
        <v>76</v>
      </c>
      <c r="D411" s="34" t="s">
        <v>64</v>
      </c>
      <c r="E411" s="34" t="s">
        <v>53</v>
      </c>
      <c r="F411" s="34" t="s">
        <v>48</v>
      </c>
      <c r="G411" s="34">
        <v>6.0</v>
      </c>
      <c r="H411" s="35">
        <v>1125.0</v>
      </c>
      <c r="I411" s="35">
        <v>6750.0</v>
      </c>
      <c r="J411" s="34">
        <v>0.0</v>
      </c>
      <c r="K411" s="35">
        <v>0.0</v>
      </c>
      <c r="L411" s="35">
        <v>6750.0</v>
      </c>
      <c r="M411" s="34" t="s">
        <v>68</v>
      </c>
      <c r="N411" s="34" t="s">
        <v>50</v>
      </c>
      <c r="O411" s="34" t="s">
        <v>57</v>
      </c>
      <c r="P411" s="15">
        <f t="shared" si="1"/>
        <v>12</v>
      </c>
    </row>
    <row r="412">
      <c r="A412" s="29">
        <v>20055.0</v>
      </c>
      <c r="B412" s="26">
        <v>46011.0</v>
      </c>
      <c r="C412" s="29" t="s">
        <v>63</v>
      </c>
      <c r="D412" s="29" t="s">
        <v>64</v>
      </c>
      <c r="E412" s="29" t="s">
        <v>26</v>
      </c>
      <c r="F412" s="29" t="s">
        <v>94</v>
      </c>
      <c r="G412" s="29">
        <v>13.0</v>
      </c>
      <c r="H412" s="30">
        <v>428.0</v>
      </c>
      <c r="I412" s="30">
        <v>5564.0</v>
      </c>
      <c r="J412" s="29">
        <v>20.0</v>
      </c>
      <c r="K412" s="30">
        <v>1113.0</v>
      </c>
      <c r="L412" s="30">
        <v>4451.0</v>
      </c>
      <c r="M412" s="29" t="s">
        <v>49</v>
      </c>
      <c r="N412" s="29" t="s">
        <v>62</v>
      </c>
      <c r="O412" s="29" t="s">
        <v>44</v>
      </c>
      <c r="P412" s="15">
        <f t="shared" si="1"/>
        <v>12</v>
      </c>
    </row>
    <row r="413">
      <c r="A413" s="25">
        <v>20084.0</v>
      </c>
      <c r="B413" s="26">
        <v>46012.0</v>
      </c>
      <c r="C413" s="25" t="s">
        <v>51</v>
      </c>
      <c r="D413" s="25" t="s">
        <v>52</v>
      </c>
      <c r="E413" s="25" t="s">
        <v>26</v>
      </c>
      <c r="F413" s="25" t="s">
        <v>74</v>
      </c>
      <c r="G413" s="25">
        <v>14.0</v>
      </c>
      <c r="H413" s="28">
        <v>509.0</v>
      </c>
      <c r="I413" s="28">
        <v>7126.0</v>
      </c>
      <c r="J413" s="25">
        <v>20.0</v>
      </c>
      <c r="K413" s="28">
        <v>1425.0</v>
      </c>
      <c r="L413" s="28">
        <v>5701.0</v>
      </c>
      <c r="M413" s="25" t="s">
        <v>87</v>
      </c>
      <c r="N413" s="25" t="s">
        <v>62</v>
      </c>
      <c r="O413" s="25" t="s">
        <v>57</v>
      </c>
      <c r="P413" s="15">
        <f t="shared" si="1"/>
        <v>12</v>
      </c>
    </row>
    <row r="414">
      <c r="A414" s="29">
        <v>20251.0</v>
      </c>
      <c r="B414" s="26">
        <v>46014.0</v>
      </c>
      <c r="C414" s="29" t="s">
        <v>84</v>
      </c>
      <c r="D414" s="29" t="s">
        <v>46</v>
      </c>
      <c r="E414" s="29" t="s">
        <v>26</v>
      </c>
      <c r="F414" s="29" t="s">
        <v>111</v>
      </c>
      <c r="G414" s="29">
        <v>12.0</v>
      </c>
      <c r="H414" s="30">
        <v>255.0</v>
      </c>
      <c r="I414" s="30">
        <v>3060.0</v>
      </c>
      <c r="J414" s="29">
        <v>0.0</v>
      </c>
      <c r="K414" s="30">
        <v>0.0</v>
      </c>
      <c r="L414" s="30">
        <v>3060.0</v>
      </c>
      <c r="M414" s="29" t="s">
        <v>71</v>
      </c>
      <c r="N414" s="29" t="s">
        <v>62</v>
      </c>
      <c r="O414" s="29" t="s">
        <v>44</v>
      </c>
      <c r="P414" s="15">
        <f t="shared" si="1"/>
        <v>12</v>
      </c>
    </row>
    <row r="415">
      <c r="A415" s="34">
        <v>20077.0</v>
      </c>
      <c r="B415" s="26">
        <v>46015.0</v>
      </c>
      <c r="C415" s="34" t="s">
        <v>82</v>
      </c>
      <c r="D415" s="34" t="s">
        <v>52</v>
      </c>
      <c r="E415" s="34" t="s">
        <v>26</v>
      </c>
      <c r="F415" s="34" t="s">
        <v>104</v>
      </c>
      <c r="G415" s="34">
        <v>11.0</v>
      </c>
      <c r="H415" s="35">
        <v>365.0</v>
      </c>
      <c r="I415" s="35">
        <v>4015.0</v>
      </c>
      <c r="J415" s="34">
        <v>0.0</v>
      </c>
      <c r="K415" s="35">
        <v>0.0</v>
      </c>
      <c r="L415" s="35">
        <v>4015.0</v>
      </c>
      <c r="M415" s="34" t="s">
        <v>87</v>
      </c>
      <c r="N415" s="34" t="s">
        <v>43</v>
      </c>
      <c r="O415" s="34" t="s">
        <v>69</v>
      </c>
      <c r="P415" s="15">
        <f t="shared" si="1"/>
        <v>12</v>
      </c>
    </row>
    <row r="416">
      <c r="A416" s="29">
        <v>20171.0</v>
      </c>
      <c r="B416" s="26">
        <v>46016.0</v>
      </c>
      <c r="C416" s="29" t="s">
        <v>58</v>
      </c>
      <c r="D416" s="29" t="s">
        <v>25</v>
      </c>
      <c r="E416" s="29" t="s">
        <v>77</v>
      </c>
      <c r="F416" s="29" t="s">
        <v>90</v>
      </c>
      <c r="G416" s="29">
        <v>8.0</v>
      </c>
      <c r="H416" s="30">
        <v>4330.0</v>
      </c>
      <c r="I416" s="30">
        <v>34640.0</v>
      </c>
      <c r="J416" s="29">
        <v>5.0</v>
      </c>
      <c r="K416" s="30">
        <v>1732.0</v>
      </c>
      <c r="L416" s="30">
        <v>32908.0</v>
      </c>
      <c r="M416" s="29" t="s">
        <v>87</v>
      </c>
      <c r="N416" s="29" t="s">
        <v>56</v>
      </c>
      <c r="O416" s="29" t="s">
        <v>44</v>
      </c>
      <c r="P416" s="15">
        <f t="shared" si="1"/>
        <v>12</v>
      </c>
    </row>
    <row r="417">
      <c r="A417" s="25">
        <v>20062.0</v>
      </c>
      <c r="B417" s="26">
        <v>46017.0</v>
      </c>
      <c r="C417" s="25" t="s">
        <v>73</v>
      </c>
      <c r="D417" s="25" t="s">
        <v>52</v>
      </c>
      <c r="E417" s="25" t="s">
        <v>53</v>
      </c>
      <c r="F417" s="25" t="s">
        <v>95</v>
      </c>
      <c r="G417" s="25">
        <v>5.0</v>
      </c>
      <c r="H417" s="28">
        <v>1776.0</v>
      </c>
      <c r="I417" s="28">
        <v>8880.0</v>
      </c>
      <c r="J417" s="25">
        <v>0.0</v>
      </c>
      <c r="K417" s="28">
        <v>0.0</v>
      </c>
      <c r="L417" s="28">
        <v>8880.0</v>
      </c>
      <c r="M417" s="25" t="s">
        <v>87</v>
      </c>
      <c r="N417" s="25" t="s">
        <v>50</v>
      </c>
      <c r="O417" s="25" t="s">
        <v>69</v>
      </c>
      <c r="P417" s="15">
        <f t="shared" si="1"/>
        <v>12</v>
      </c>
    </row>
    <row r="418">
      <c r="A418" s="29">
        <v>20243.0</v>
      </c>
      <c r="B418" s="26">
        <v>46018.0</v>
      </c>
      <c r="C418" s="29" t="s">
        <v>89</v>
      </c>
      <c r="D418" s="29" t="s">
        <v>46</v>
      </c>
      <c r="E418" s="29" t="s">
        <v>53</v>
      </c>
      <c r="F418" s="29" t="s">
        <v>54</v>
      </c>
      <c r="G418" s="29">
        <v>5.0</v>
      </c>
      <c r="H418" s="30">
        <v>1690.0</v>
      </c>
      <c r="I418" s="30">
        <v>8450.0</v>
      </c>
      <c r="J418" s="29">
        <v>20.0</v>
      </c>
      <c r="K418" s="30">
        <v>1690.0</v>
      </c>
      <c r="L418" s="30">
        <v>6760.0</v>
      </c>
      <c r="M418" s="29" t="s">
        <v>61</v>
      </c>
      <c r="N418" s="29" t="s">
        <v>62</v>
      </c>
      <c r="O418" s="29" t="s">
        <v>44</v>
      </c>
      <c r="P418" s="15">
        <f t="shared" si="1"/>
        <v>12</v>
      </c>
    </row>
    <row r="419">
      <c r="A419" s="25">
        <v>20400.0</v>
      </c>
      <c r="B419" s="26">
        <v>46018.0</v>
      </c>
      <c r="C419" s="25" t="s">
        <v>92</v>
      </c>
      <c r="D419" s="25" t="s">
        <v>25</v>
      </c>
      <c r="E419" s="25" t="s">
        <v>26</v>
      </c>
      <c r="F419" s="25" t="s">
        <v>70</v>
      </c>
      <c r="G419" s="25">
        <v>5.0</v>
      </c>
      <c r="H419" s="28">
        <v>476.0</v>
      </c>
      <c r="I419" s="28">
        <v>2380.0</v>
      </c>
      <c r="J419" s="25">
        <v>5.0</v>
      </c>
      <c r="K419" s="28">
        <v>119.0</v>
      </c>
      <c r="L419" s="28">
        <v>2261.0</v>
      </c>
      <c r="M419" s="25" t="s">
        <v>61</v>
      </c>
      <c r="N419" s="25" t="s">
        <v>56</v>
      </c>
      <c r="O419" s="25" t="s">
        <v>69</v>
      </c>
      <c r="P419" s="15">
        <f t="shared" si="1"/>
        <v>12</v>
      </c>
    </row>
    <row r="420">
      <c r="A420" s="20">
        <v>20064.0</v>
      </c>
      <c r="B420" s="26">
        <v>46020.0</v>
      </c>
      <c r="C420" s="20" t="s">
        <v>76</v>
      </c>
      <c r="D420" s="20" t="s">
        <v>64</v>
      </c>
      <c r="E420" s="20" t="s">
        <v>53</v>
      </c>
      <c r="F420" s="20" t="s">
        <v>102</v>
      </c>
      <c r="G420" s="20">
        <v>1.0</v>
      </c>
      <c r="H420" s="24">
        <v>557.0</v>
      </c>
      <c r="I420" s="24">
        <v>557.0</v>
      </c>
      <c r="J420" s="20">
        <v>0.0</v>
      </c>
      <c r="K420" s="24">
        <v>0.0</v>
      </c>
      <c r="L420" s="24">
        <v>557.0</v>
      </c>
      <c r="M420" s="20" t="s">
        <v>81</v>
      </c>
      <c r="N420" s="20" t="s">
        <v>56</v>
      </c>
      <c r="O420" s="20" t="s">
        <v>44</v>
      </c>
      <c r="P420" s="15">
        <f t="shared" si="1"/>
        <v>12</v>
      </c>
    </row>
    <row r="421">
      <c r="A421" s="25">
        <v>20230.0</v>
      </c>
      <c r="B421" s="26">
        <v>46021.0</v>
      </c>
      <c r="C421" s="25" t="s">
        <v>58</v>
      </c>
      <c r="D421" s="25" t="s">
        <v>25</v>
      </c>
      <c r="E421" s="25" t="s">
        <v>26</v>
      </c>
      <c r="F421" s="25" t="s">
        <v>74</v>
      </c>
      <c r="G421" s="25">
        <v>11.0</v>
      </c>
      <c r="H421" s="28">
        <v>231.0</v>
      </c>
      <c r="I421" s="28">
        <v>2541.0</v>
      </c>
      <c r="J421" s="25">
        <v>10.0</v>
      </c>
      <c r="K421" s="28">
        <v>254.0</v>
      </c>
      <c r="L421" s="28">
        <v>2287.0</v>
      </c>
      <c r="M421" s="25" t="s">
        <v>68</v>
      </c>
      <c r="N421" s="25" t="s">
        <v>56</v>
      </c>
      <c r="O421" s="25" t="s">
        <v>69</v>
      </c>
      <c r="P421" s="15">
        <f t="shared" si="1"/>
        <v>12</v>
      </c>
    </row>
  </sheetData>
  <dataValidations>
    <dataValidation type="list" allowBlank="1" showErrorMessage="1" sqref="C2:C421">
      <formula1>"Chandigarh,Gurugram,Bengaluru,Chennai,Kolkata,Pune,Hyderabad,Mumbai,Lucknow,Surat,Kochi,Guwahati,Patna,Bhubaneswar,Delhi,Ahmedabad"</formula1>
    </dataValidation>
    <dataValidation type="list" allowBlank="1" showErrorMessage="1" sqref="N2:N421">
      <formula1>"UPI,Cash,Credit Card,Net Banking,Debit Card"</formula1>
    </dataValidation>
    <dataValidation type="list" allowBlank="1" showErrorMessage="1" sqref="M2:M421">
      <formula1>"Deepak Yadav,Kavita Nair,Priya Verma,Sanjay Rao,Ananya Iyer,Neha Gupta,Vikram Malhotra,Amit Singh,Pooja Reddy,Rohit Sharma"</formula1>
    </dataValidation>
    <dataValidation type="list" allowBlank="1" showErrorMessage="1" sqref="O2:O421">
      <formula1>"Online,Retail,Wholesale"</formula1>
    </dataValidation>
    <dataValidation type="list" allowBlank="1" showErrorMessage="1" sqref="D2:D421">
      <formula1>"North,South,East,West"</formula1>
    </dataValidation>
    <dataValidation type="list" allowBlank="1" showErrorMessage="1" sqref="E2:E421">
      <formula1>"Groceries,Apparel,Home &amp; Kitchen,Personal Care,Electronics"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12.0"/>
    <col customWidth="1" min="3" max="3" width="18.43"/>
    <col customWidth="1" min="4" max="4" width="11.71"/>
    <col customWidth="1" min="5" max="5" width="20.43"/>
    <col customWidth="1" min="6" max="6" width="20.0"/>
    <col customWidth="1" min="7" max="7" width="9.71"/>
    <col customWidth="1" min="8" max="8" width="15.57"/>
    <col customWidth="1" min="9" max="9" width="20.29"/>
    <col customWidth="1" min="10" max="10" width="12.57"/>
    <col customWidth="1" min="11" max="11" width="23.29"/>
    <col customWidth="1" min="12" max="12" width="15.29"/>
    <col customWidth="1" min="13" max="13" width="20.57"/>
    <col customWidth="1" min="14" max="14" width="17.14"/>
    <col customWidth="1" min="15" max="15" width="16.29"/>
    <col customWidth="1" min="16" max="16" width="8.71"/>
    <col customWidth="1" min="17" max="17" width="6.86"/>
    <col customWidth="1" min="18" max="18" width="9.29"/>
    <col customWidth="1" min="19" max="19" width="12.71"/>
    <col customWidth="1" min="20" max="20" width="7.71"/>
    <col customWidth="1" min="21" max="21" width="10.43"/>
    <col customWidth="1" min="22" max="22" width="15.0"/>
    <col customWidth="1" min="23" max="26" width="8.71"/>
  </cols>
  <sheetData>
    <row r="1" ht="14.25" customHeight="1">
      <c r="A1" s="40" t="s">
        <v>0</v>
      </c>
      <c r="B1" s="41" t="s">
        <v>2</v>
      </c>
      <c r="C1" s="42" t="s">
        <v>3</v>
      </c>
      <c r="D1" s="42" t="s">
        <v>5</v>
      </c>
      <c r="E1" s="42" t="s">
        <v>6</v>
      </c>
      <c r="F1" s="42" t="s">
        <v>7</v>
      </c>
      <c r="G1" s="42" t="s">
        <v>8</v>
      </c>
      <c r="H1" s="42" t="s">
        <v>9</v>
      </c>
      <c r="I1" s="42" t="s">
        <v>10</v>
      </c>
      <c r="J1" s="42" t="s">
        <v>11</v>
      </c>
      <c r="K1" s="42" t="s">
        <v>12</v>
      </c>
      <c r="L1" s="42" t="s">
        <v>14</v>
      </c>
      <c r="M1" s="42" t="s">
        <v>15</v>
      </c>
      <c r="N1" s="42" t="s">
        <v>16</v>
      </c>
      <c r="O1" s="42" t="s">
        <v>18</v>
      </c>
      <c r="P1" s="43"/>
      <c r="Q1" s="43"/>
      <c r="R1" s="43"/>
      <c r="S1" s="43"/>
      <c r="T1" s="43"/>
      <c r="U1" s="43"/>
      <c r="V1" s="43"/>
      <c r="W1" s="43"/>
      <c r="X1" s="43"/>
      <c r="Y1" s="43"/>
      <c r="Z1" s="43"/>
    </row>
    <row r="2" ht="14.25" customHeight="1">
      <c r="A2" s="40" t="s">
        <v>0</v>
      </c>
      <c r="B2" s="44">
        <v>45658.0</v>
      </c>
      <c r="C2" s="45" t="s">
        <v>80</v>
      </c>
      <c r="D2" s="45" t="s">
        <v>25</v>
      </c>
      <c r="E2" s="45" t="s">
        <v>26</v>
      </c>
      <c r="F2" s="46" t="s">
        <v>27</v>
      </c>
      <c r="G2" s="46">
        <v>6.0</v>
      </c>
      <c r="H2" s="47">
        <v>1138.0</v>
      </c>
      <c r="I2" s="47">
        <v>6828.0</v>
      </c>
      <c r="J2" s="46">
        <v>20.0</v>
      </c>
      <c r="K2" s="47">
        <v>1366.0</v>
      </c>
      <c r="L2" s="47">
        <v>5462.0</v>
      </c>
      <c r="M2" s="46" t="s">
        <v>42</v>
      </c>
      <c r="N2" s="46" t="s">
        <v>43</v>
      </c>
      <c r="O2" s="46" t="s">
        <v>44</v>
      </c>
      <c r="P2" s="43"/>
      <c r="Q2" s="43"/>
      <c r="R2" s="43"/>
      <c r="S2" s="43"/>
      <c r="T2" s="43"/>
      <c r="U2" s="43"/>
      <c r="V2" s="43"/>
      <c r="W2" s="43"/>
      <c r="X2" s="43"/>
      <c r="Y2" s="43"/>
      <c r="Z2" s="43"/>
    </row>
    <row r="3" ht="14.25" customHeight="1">
      <c r="A3" s="40" t="s">
        <v>0</v>
      </c>
      <c r="B3" s="44">
        <v>45661.0</v>
      </c>
      <c r="C3" s="46" t="s">
        <v>45</v>
      </c>
      <c r="D3" s="46" t="s">
        <v>46</v>
      </c>
      <c r="E3" s="45" t="s">
        <v>47</v>
      </c>
      <c r="F3" s="46" t="s">
        <v>48</v>
      </c>
      <c r="G3" s="46">
        <v>14.0</v>
      </c>
      <c r="H3" s="47">
        <v>1829.0</v>
      </c>
      <c r="I3" s="47">
        <v>25606.0</v>
      </c>
      <c r="J3" s="46">
        <v>20.0</v>
      </c>
      <c r="K3" s="47">
        <v>5121.0</v>
      </c>
      <c r="L3" s="47">
        <v>20485.0</v>
      </c>
      <c r="M3" s="46" t="s">
        <v>49</v>
      </c>
      <c r="N3" s="46" t="s">
        <v>50</v>
      </c>
      <c r="O3" s="46" t="s">
        <v>44</v>
      </c>
      <c r="P3" s="43"/>
      <c r="Q3" s="43"/>
      <c r="R3" s="43"/>
      <c r="S3" s="43"/>
      <c r="T3" s="43"/>
      <c r="U3" s="43"/>
      <c r="V3" s="43"/>
      <c r="W3" s="43"/>
      <c r="X3" s="43"/>
      <c r="Y3" s="43"/>
      <c r="Z3" s="43"/>
    </row>
    <row r="4" ht="14.25" customHeight="1">
      <c r="A4" s="40" t="s">
        <v>0</v>
      </c>
      <c r="B4" s="44">
        <v>45661.0</v>
      </c>
      <c r="C4" s="48" t="s">
        <v>51</v>
      </c>
      <c r="D4" s="48" t="s">
        <v>52</v>
      </c>
      <c r="E4" s="48" t="s">
        <v>53</v>
      </c>
      <c r="F4" s="48" t="s">
        <v>54</v>
      </c>
      <c r="G4" s="48">
        <v>7.0</v>
      </c>
      <c r="H4" s="49">
        <v>984.0</v>
      </c>
      <c r="I4" s="49">
        <v>6888.0</v>
      </c>
      <c r="J4" s="48">
        <v>0.0</v>
      </c>
      <c r="K4" s="49">
        <v>0.0</v>
      </c>
      <c r="L4" s="49">
        <v>6888.0</v>
      </c>
      <c r="M4" s="48" t="s">
        <v>55</v>
      </c>
      <c r="N4" s="48" t="s">
        <v>56</v>
      </c>
      <c r="O4" s="48" t="s">
        <v>57</v>
      </c>
      <c r="P4" s="43"/>
      <c r="Q4" s="43"/>
      <c r="R4" s="43"/>
      <c r="S4" s="43"/>
      <c r="T4" s="43"/>
      <c r="U4" s="43"/>
      <c r="V4" s="43"/>
      <c r="W4" s="43"/>
      <c r="X4" s="43"/>
      <c r="Y4" s="43"/>
      <c r="Z4" s="43"/>
    </row>
    <row r="5" ht="14.25" customHeight="1">
      <c r="A5" s="40" t="s">
        <v>0</v>
      </c>
      <c r="B5" s="44">
        <v>45662.0</v>
      </c>
      <c r="C5" s="46" t="s">
        <v>58</v>
      </c>
      <c r="D5" s="46" t="s">
        <v>25</v>
      </c>
      <c r="E5" s="46" t="s">
        <v>59</v>
      </c>
      <c r="F5" s="46" t="s">
        <v>60</v>
      </c>
      <c r="G5" s="46">
        <v>15.0</v>
      </c>
      <c r="H5" s="47">
        <v>266.0</v>
      </c>
      <c r="I5" s="47">
        <v>3990.0</v>
      </c>
      <c r="J5" s="46">
        <v>0.0</v>
      </c>
      <c r="K5" s="47">
        <v>0.0</v>
      </c>
      <c r="L5" s="47">
        <v>3990.0</v>
      </c>
      <c r="M5" s="46" t="s">
        <v>61</v>
      </c>
      <c r="N5" s="46" t="s">
        <v>62</v>
      </c>
      <c r="O5" s="46" t="s">
        <v>57</v>
      </c>
      <c r="P5" s="43"/>
      <c r="Q5" s="43"/>
      <c r="R5" s="43"/>
      <c r="S5" s="43"/>
      <c r="T5" s="43"/>
      <c r="U5" s="43"/>
      <c r="V5" s="43"/>
      <c r="W5" s="43"/>
      <c r="X5" s="43"/>
      <c r="Y5" s="43"/>
      <c r="Z5" s="43"/>
    </row>
    <row r="6" ht="14.25" customHeight="1">
      <c r="A6" s="40" t="s">
        <v>0</v>
      </c>
      <c r="B6" s="44">
        <v>45663.0</v>
      </c>
      <c r="C6" s="46" t="s">
        <v>63</v>
      </c>
      <c r="D6" s="46" t="s">
        <v>64</v>
      </c>
      <c r="E6" s="46" t="s">
        <v>47</v>
      </c>
      <c r="F6" s="46" t="s">
        <v>65</v>
      </c>
      <c r="G6" s="46">
        <v>13.0</v>
      </c>
      <c r="H6" s="47">
        <v>932.0</v>
      </c>
      <c r="I6" s="47">
        <v>12116.0</v>
      </c>
      <c r="J6" s="46">
        <v>10.0</v>
      </c>
      <c r="K6" s="47">
        <v>1212.0</v>
      </c>
      <c r="L6" s="47">
        <v>10904.0</v>
      </c>
      <c r="M6" s="46" t="s">
        <v>49</v>
      </c>
      <c r="N6" s="46" t="s">
        <v>50</v>
      </c>
      <c r="O6" s="46" t="s">
        <v>57</v>
      </c>
      <c r="P6" s="43"/>
      <c r="Q6" s="43"/>
      <c r="R6" s="43"/>
      <c r="S6" s="43"/>
      <c r="T6" s="43"/>
      <c r="U6" s="43"/>
      <c r="V6" s="43"/>
      <c r="W6" s="43"/>
      <c r="X6" s="43"/>
      <c r="Y6" s="43"/>
      <c r="Z6" s="43"/>
    </row>
    <row r="7" ht="14.25" customHeight="1">
      <c r="A7" s="40" t="s">
        <v>0</v>
      </c>
      <c r="B7" s="44">
        <v>45666.0</v>
      </c>
      <c r="C7" s="48" t="s">
        <v>66</v>
      </c>
      <c r="D7" s="48" t="s">
        <v>46</v>
      </c>
      <c r="E7" s="48" t="s">
        <v>47</v>
      </c>
      <c r="F7" s="48" t="s">
        <v>67</v>
      </c>
      <c r="G7" s="48">
        <v>1.0</v>
      </c>
      <c r="H7" s="49">
        <v>1962.0</v>
      </c>
      <c r="I7" s="49">
        <v>1962.0</v>
      </c>
      <c r="J7" s="48">
        <v>20.0</v>
      </c>
      <c r="K7" s="49">
        <v>392.0</v>
      </c>
      <c r="L7" s="49">
        <v>1570.0</v>
      </c>
      <c r="M7" s="48" t="s">
        <v>68</v>
      </c>
      <c r="N7" s="48" t="s">
        <v>62</v>
      </c>
      <c r="O7" s="48" t="s">
        <v>69</v>
      </c>
      <c r="P7" s="43"/>
      <c r="Q7" s="43"/>
      <c r="R7" s="43"/>
      <c r="S7" s="43"/>
      <c r="T7" s="43"/>
      <c r="U7" s="43"/>
      <c r="V7" s="43"/>
      <c r="W7" s="43"/>
      <c r="X7" s="43"/>
      <c r="Y7" s="43"/>
      <c r="Z7" s="43"/>
    </row>
    <row r="8" ht="14.25" customHeight="1">
      <c r="A8" s="40" t="s">
        <v>0</v>
      </c>
      <c r="B8" s="44">
        <v>45666.0</v>
      </c>
      <c r="C8" s="46" t="s">
        <v>51</v>
      </c>
      <c r="D8" s="46" t="s">
        <v>52</v>
      </c>
      <c r="E8" s="46" t="s">
        <v>26</v>
      </c>
      <c r="F8" s="46" t="s">
        <v>70</v>
      </c>
      <c r="G8" s="46">
        <v>1.0</v>
      </c>
      <c r="H8" s="47">
        <v>184.0</v>
      </c>
      <c r="I8" s="47">
        <v>184.0</v>
      </c>
      <c r="J8" s="46">
        <v>15.0</v>
      </c>
      <c r="K8" s="47">
        <v>28.0</v>
      </c>
      <c r="L8" s="47">
        <v>156.0</v>
      </c>
      <c r="M8" s="46" t="s">
        <v>71</v>
      </c>
      <c r="N8" s="46" t="s">
        <v>72</v>
      </c>
      <c r="O8" s="46" t="s">
        <v>57</v>
      </c>
      <c r="P8" s="43"/>
      <c r="Q8" s="43"/>
      <c r="R8" s="43"/>
      <c r="S8" s="43"/>
      <c r="T8" s="43"/>
      <c r="U8" s="43"/>
      <c r="V8" s="43"/>
      <c r="W8" s="43"/>
      <c r="X8" s="43"/>
      <c r="Y8" s="43"/>
      <c r="Z8" s="43"/>
    </row>
    <row r="9" ht="14.25" customHeight="1">
      <c r="A9" s="40" t="s">
        <v>0</v>
      </c>
      <c r="B9" s="44">
        <v>45667.0</v>
      </c>
      <c r="C9" s="48" t="s">
        <v>73</v>
      </c>
      <c r="D9" s="48" t="s">
        <v>52</v>
      </c>
      <c r="E9" s="48" t="s">
        <v>26</v>
      </c>
      <c r="F9" s="48" t="s">
        <v>74</v>
      </c>
      <c r="G9" s="48">
        <v>10.0</v>
      </c>
      <c r="H9" s="49">
        <v>559.0</v>
      </c>
      <c r="I9" s="49">
        <v>5590.0</v>
      </c>
      <c r="J9" s="48">
        <v>0.0</v>
      </c>
      <c r="K9" s="49">
        <v>0.0</v>
      </c>
      <c r="L9" s="49">
        <v>5590.0</v>
      </c>
      <c r="M9" s="48" t="s">
        <v>71</v>
      </c>
      <c r="N9" s="48" t="s">
        <v>43</v>
      </c>
      <c r="O9" s="48" t="s">
        <v>69</v>
      </c>
      <c r="P9" s="43"/>
      <c r="Q9" s="43"/>
      <c r="R9" s="43"/>
      <c r="S9" s="43"/>
      <c r="T9" s="43"/>
      <c r="U9" s="43"/>
      <c r="V9" s="43"/>
      <c r="W9" s="43"/>
      <c r="X9" s="43"/>
      <c r="Y9" s="43"/>
      <c r="Z9" s="43"/>
    </row>
    <row r="10" ht="14.25" customHeight="1">
      <c r="A10" s="48">
        <v>20129.0</v>
      </c>
      <c r="B10" s="44">
        <v>45667.0</v>
      </c>
      <c r="C10" s="48" t="s">
        <v>45</v>
      </c>
      <c r="D10" s="48" t="s">
        <v>46</v>
      </c>
      <c r="E10" s="48" t="s">
        <v>53</v>
      </c>
      <c r="F10" s="48" t="s">
        <v>75</v>
      </c>
      <c r="G10" s="48">
        <v>4.0</v>
      </c>
      <c r="H10" s="49">
        <v>1294.0</v>
      </c>
      <c r="I10" s="49">
        <v>5176.0</v>
      </c>
      <c r="J10" s="48">
        <v>0.0</v>
      </c>
      <c r="K10" s="49">
        <v>0.0</v>
      </c>
      <c r="L10" s="49">
        <v>5176.0</v>
      </c>
      <c r="M10" s="48" t="s">
        <v>68</v>
      </c>
      <c r="N10" s="48" t="s">
        <v>62</v>
      </c>
      <c r="O10" s="48" t="s">
        <v>44</v>
      </c>
      <c r="P10" s="43"/>
      <c r="Q10" s="43"/>
      <c r="R10" s="43"/>
      <c r="S10" s="43"/>
      <c r="T10" s="43"/>
      <c r="U10" s="43"/>
      <c r="V10" s="43"/>
      <c r="W10" s="43"/>
      <c r="X10" s="43"/>
      <c r="Y10" s="43"/>
      <c r="Z10" s="43"/>
    </row>
    <row r="11" ht="14.25" customHeight="1">
      <c r="A11" s="48">
        <v>20053.0</v>
      </c>
      <c r="B11" s="44">
        <v>45668.0</v>
      </c>
      <c r="C11" s="48" t="s">
        <v>76</v>
      </c>
      <c r="D11" s="48" t="s">
        <v>64</v>
      </c>
      <c r="E11" s="48" t="s">
        <v>77</v>
      </c>
      <c r="F11" s="48" t="s">
        <v>78</v>
      </c>
      <c r="G11" s="48">
        <v>8.0</v>
      </c>
      <c r="H11" s="49">
        <v>5520.0</v>
      </c>
      <c r="I11" s="49">
        <v>44160.0</v>
      </c>
      <c r="J11" s="48">
        <v>20.0</v>
      </c>
      <c r="K11" s="49">
        <v>8832.0</v>
      </c>
      <c r="L11" s="49">
        <v>35328.0</v>
      </c>
      <c r="M11" s="48" t="s">
        <v>55</v>
      </c>
      <c r="N11" s="48" t="s">
        <v>50</v>
      </c>
      <c r="O11" s="48" t="s">
        <v>57</v>
      </c>
      <c r="P11" s="43"/>
      <c r="Q11" s="43"/>
      <c r="R11" s="43"/>
      <c r="S11" s="43"/>
      <c r="T11" s="43"/>
      <c r="U11" s="43"/>
      <c r="V11" s="43"/>
      <c r="W11" s="43"/>
      <c r="X11" s="43"/>
      <c r="Y11" s="43"/>
      <c r="Z11" s="43"/>
    </row>
    <row r="12" ht="14.25" customHeight="1">
      <c r="A12" s="46">
        <v>20140.0</v>
      </c>
      <c r="B12" s="44">
        <v>45668.0</v>
      </c>
      <c r="C12" s="46" t="s">
        <v>51</v>
      </c>
      <c r="D12" s="46" t="s">
        <v>52</v>
      </c>
      <c r="E12" s="46" t="s">
        <v>59</v>
      </c>
      <c r="F12" s="46" t="s">
        <v>79</v>
      </c>
      <c r="G12" s="46">
        <v>11.0</v>
      </c>
      <c r="H12" s="47">
        <v>442.0</v>
      </c>
      <c r="I12" s="47">
        <v>4862.0</v>
      </c>
      <c r="J12" s="46">
        <v>0.0</v>
      </c>
      <c r="K12" s="47">
        <v>0.0</v>
      </c>
      <c r="L12" s="47">
        <v>4862.0</v>
      </c>
      <c r="M12" s="46" t="s">
        <v>71</v>
      </c>
      <c r="N12" s="46" t="s">
        <v>72</v>
      </c>
      <c r="O12" s="46" t="s">
        <v>69</v>
      </c>
      <c r="P12" s="43"/>
      <c r="Q12" s="43"/>
      <c r="R12" s="43"/>
      <c r="S12" s="43"/>
      <c r="T12" s="43"/>
      <c r="U12" s="43"/>
      <c r="V12" s="43"/>
      <c r="W12" s="43"/>
      <c r="X12" s="43"/>
      <c r="Y12" s="43"/>
      <c r="Z12" s="43"/>
    </row>
    <row r="13" ht="14.25" customHeight="1">
      <c r="A13" s="48">
        <v>20287.0</v>
      </c>
      <c r="B13" s="44">
        <v>45669.0</v>
      </c>
      <c r="C13" s="48" t="s">
        <v>76</v>
      </c>
      <c r="D13" s="48" t="s">
        <v>64</v>
      </c>
      <c r="E13" s="48" t="s">
        <v>47</v>
      </c>
      <c r="F13" s="48" t="s">
        <v>65</v>
      </c>
      <c r="G13" s="48">
        <v>13.0</v>
      </c>
      <c r="H13" s="49">
        <v>496.0</v>
      </c>
      <c r="I13" s="49">
        <v>6448.0</v>
      </c>
      <c r="J13" s="50">
        <v>0.0</v>
      </c>
      <c r="K13" s="49">
        <v>0.0</v>
      </c>
      <c r="L13" s="49">
        <v>6448.0</v>
      </c>
      <c r="M13" s="48" t="s">
        <v>61</v>
      </c>
      <c r="N13" s="48" t="s">
        <v>56</v>
      </c>
      <c r="O13" s="48" t="s">
        <v>69</v>
      </c>
      <c r="P13" s="43"/>
      <c r="Q13" s="43"/>
      <c r="R13" s="43"/>
      <c r="S13" s="43"/>
      <c r="T13" s="43"/>
      <c r="U13" s="43"/>
      <c r="V13" s="43"/>
      <c r="W13" s="43"/>
      <c r="X13" s="43"/>
      <c r="Y13" s="43"/>
      <c r="Z13" s="43"/>
    </row>
    <row r="14" ht="14.25" customHeight="1">
      <c r="A14" s="46">
        <v>20328.0</v>
      </c>
      <c r="B14" s="44">
        <v>45669.0</v>
      </c>
      <c r="C14" s="46" t="s">
        <v>80</v>
      </c>
      <c r="D14" s="46" t="s">
        <v>64</v>
      </c>
      <c r="E14" s="46" t="s">
        <v>26</v>
      </c>
      <c r="F14" s="46" t="s">
        <v>74</v>
      </c>
      <c r="G14" s="46">
        <v>12.0</v>
      </c>
      <c r="H14" s="47">
        <v>158.0</v>
      </c>
      <c r="I14" s="47">
        <v>1896.0</v>
      </c>
      <c r="J14" s="46">
        <v>10.0</v>
      </c>
      <c r="K14" s="47">
        <v>190.0</v>
      </c>
      <c r="L14" s="47">
        <v>1706.0</v>
      </c>
      <c r="M14" s="46" t="s">
        <v>81</v>
      </c>
      <c r="N14" s="46" t="s">
        <v>56</v>
      </c>
      <c r="O14" s="46" t="s">
        <v>69</v>
      </c>
      <c r="P14" s="43"/>
      <c r="Q14" s="43"/>
      <c r="R14" s="43"/>
      <c r="S14" s="43"/>
      <c r="T14" s="43"/>
      <c r="U14" s="43"/>
      <c r="V14" s="43"/>
      <c r="W14" s="43"/>
      <c r="X14" s="43"/>
      <c r="Y14" s="43"/>
      <c r="Z14" s="43"/>
    </row>
    <row r="15" ht="14.25" customHeight="1">
      <c r="A15" s="48">
        <v>20033.0</v>
      </c>
      <c r="B15" s="44">
        <v>45670.0</v>
      </c>
      <c r="C15" s="48" t="s">
        <v>80</v>
      </c>
      <c r="D15" s="48" t="s">
        <v>64</v>
      </c>
      <c r="E15" s="48" t="s">
        <v>53</v>
      </c>
      <c r="F15" s="48" t="s">
        <v>48</v>
      </c>
      <c r="G15" s="48">
        <v>13.0</v>
      </c>
      <c r="H15" s="49">
        <v>625.0</v>
      </c>
      <c r="I15" s="49">
        <v>8125.0</v>
      </c>
      <c r="J15" s="48">
        <v>5.0</v>
      </c>
      <c r="K15" s="49">
        <v>406.0</v>
      </c>
      <c r="L15" s="49">
        <v>7719.0</v>
      </c>
      <c r="M15" s="48" t="s">
        <v>81</v>
      </c>
      <c r="N15" s="48" t="s">
        <v>43</v>
      </c>
      <c r="O15" s="48" t="s">
        <v>69</v>
      </c>
      <c r="P15" s="43"/>
      <c r="Q15" s="43"/>
      <c r="R15" s="43"/>
      <c r="S15" s="43"/>
      <c r="T15" s="43"/>
      <c r="U15" s="43"/>
      <c r="V15" s="43"/>
      <c r="W15" s="43"/>
      <c r="X15" s="43"/>
      <c r="Y15" s="43"/>
      <c r="Z15" s="43"/>
    </row>
    <row r="16" ht="14.25" customHeight="1">
      <c r="A16" s="48">
        <v>20403.0</v>
      </c>
      <c r="B16" s="44">
        <v>45672.0</v>
      </c>
      <c r="C16" s="48" t="s">
        <v>82</v>
      </c>
      <c r="D16" s="48" t="s">
        <v>52</v>
      </c>
      <c r="E16" s="48" t="s">
        <v>26</v>
      </c>
      <c r="F16" s="48" t="s">
        <v>74</v>
      </c>
      <c r="G16" s="48">
        <v>2.0</v>
      </c>
      <c r="H16" s="49">
        <v>511.0</v>
      </c>
      <c r="I16" s="49">
        <v>1022.0</v>
      </c>
      <c r="J16" s="48">
        <v>20.0</v>
      </c>
      <c r="K16" s="49">
        <v>204.0</v>
      </c>
      <c r="L16" s="49">
        <v>818.0</v>
      </c>
      <c r="M16" s="48" t="s">
        <v>55</v>
      </c>
      <c r="N16" s="48" t="s">
        <v>43</v>
      </c>
      <c r="O16" s="48" t="s">
        <v>44</v>
      </c>
      <c r="P16" s="43"/>
      <c r="Q16" s="43"/>
      <c r="R16" s="43"/>
      <c r="S16" s="43"/>
      <c r="T16" s="43"/>
      <c r="U16" s="43"/>
      <c r="V16" s="43"/>
      <c r="W16" s="43"/>
      <c r="X16" s="43"/>
      <c r="Y16" s="43"/>
      <c r="Z16" s="43"/>
    </row>
    <row r="17" ht="14.25" customHeight="1">
      <c r="A17" s="46">
        <v>20276.0</v>
      </c>
      <c r="B17" s="44">
        <v>45673.0</v>
      </c>
      <c r="C17" s="46" t="s">
        <v>51</v>
      </c>
      <c r="D17" s="46" t="s">
        <v>52</v>
      </c>
      <c r="E17" s="46" t="s">
        <v>59</v>
      </c>
      <c r="F17" s="46" t="s">
        <v>83</v>
      </c>
      <c r="G17" s="46">
        <v>12.0</v>
      </c>
      <c r="H17" s="47">
        <v>112.0</v>
      </c>
      <c r="I17" s="47">
        <v>1344.0</v>
      </c>
      <c r="J17" s="46">
        <v>0.0</v>
      </c>
      <c r="K17" s="47">
        <v>0.0</v>
      </c>
      <c r="L17" s="47">
        <v>1344.0</v>
      </c>
      <c r="M17" s="46" t="s">
        <v>81</v>
      </c>
      <c r="N17" s="46" t="s">
        <v>62</v>
      </c>
      <c r="O17" s="46" t="s">
        <v>69</v>
      </c>
      <c r="P17" s="43"/>
      <c r="Q17" s="43"/>
      <c r="R17" s="43"/>
      <c r="S17" s="43"/>
      <c r="T17" s="43"/>
      <c r="U17" s="43"/>
      <c r="V17" s="43"/>
      <c r="W17" s="43"/>
      <c r="X17" s="43"/>
      <c r="Y17" s="43"/>
      <c r="Z17" s="43"/>
    </row>
    <row r="18" ht="14.25" customHeight="1">
      <c r="A18" s="46">
        <v>20008.0</v>
      </c>
      <c r="B18" s="44">
        <v>45674.0</v>
      </c>
      <c r="C18" s="46" t="s">
        <v>84</v>
      </c>
      <c r="D18" s="46" t="s">
        <v>46</v>
      </c>
      <c r="E18" s="46" t="s">
        <v>59</v>
      </c>
      <c r="F18" s="46" t="s">
        <v>85</v>
      </c>
      <c r="G18" s="46">
        <v>2.0</v>
      </c>
      <c r="H18" s="47">
        <v>427.0</v>
      </c>
      <c r="I18" s="47">
        <v>854.0</v>
      </c>
      <c r="J18" s="46">
        <v>0.0</v>
      </c>
      <c r="K18" s="47">
        <v>0.0</v>
      </c>
      <c r="L18" s="47">
        <v>854.0</v>
      </c>
      <c r="M18" s="46" t="s">
        <v>42</v>
      </c>
      <c r="N18" s="46" t="s">
        <v>43</v>
      </c>
      <c r="O18" s="46" t="s">
        <v>57</v>
      </c>
      <c r="P18" s="43"/>
      <c r="Q18" s="43"/>
      <c r="R18" s="43"/>
      <c r="S18" s="43"/>
      <c r="T18" s="43"/>
      <c r="U18" s="43"/>
      <c r="V18" s="43"/>
      <c r="W18" s="43"/>
      <c r="X18" s="43"/>
      <c r="Y18" s="43"/>
      <c r="Z18" s="43"/>
    </row>
    <row r="19" ht="14.25" customHeight="1">
      <c r="A19" s="46">
        <v>20290.0</v>
      </c>
      <c r="B19" s="44">
        <v>45674.0</v>
      </c>
      <c r="C19" s="46" t="s">
        <v>80</v>
      </c>
      <c r="D19" s="46" t="s">
        <v>64</v>
      </c>
      <c r="E19" s="46" t="s">
        <v>47</v>
      </c>
      <c r="F19" s="46" t="s">
        <v>67</v>
      </c>
      <c r="G19" s="46">
        <v>15.0</v>
      </c>
      <c r="H19" s="47">
        <v>2231.0</v>
      </c>
      <c r="I19" s="47">
        <v>33465.0</v>
      </c>
      <c r="J19" s="46">
        <v>0.0</v>
      </c>
      <c r="K19" s="47">
        <v>0.0</v>
      </c>
      <c r="L19" s="47">
        <v>33465.0</v>
      </c>
      <c r="M19" s="46" t="s">
        <v>55</v>
      </c>
      <c r="N19" s="46" t="s">
        <v>62</v>
      </c>
      <c r="O19" s="46" t="s">
        <v>69</v>
      </c>
      <c r="P19" s="43"/>
      <c r="Q19" s="43"/>
      <c r="R19" s="43"/>
      <c r="S19" s="43"/>
      <c r="T19" s="43"/>
      <c r="U19" s="43"/>
      <c r="V19" s="43"/>
      <c r="W19" s="43"/>
      <c r="X19" s="43"/>
      <c r="Y19" s="43"/>
      <c r="Z19" s="43"/>
    </row>
    <row r="20" ht="14.25" customHeight="1">
      <c r="A20" s="46">
        <v>20240.0</v>
      </c>
      <c r="B20" s="44">
        <v>45679.0</v>
      </c>
      <c r="C20" s="46" t="s">
        <v>73</v>
      </c>
      <c r="D20" s="46" t="s">
        <v>52</v>
      </c>
      <c r="E20" s="46" t="s">
        <v>47</v>
      </c>
      <c r="F20" s="46" t="s">
        <v>65</v>
      </c>
      <c r="G20" s="46">
        <v>7.0</v>
      </c>
      <c r="H20" s="47">
        <v>1212.0</v>
      </c>
      <c r="I20" s="47">
        <v>8484.0</v>
      </c>
      <c r="J20" s="46">
        <v>0.0</v>
      </c>
      <c r="K20" s="47">
        <v>0.0</v>
      </c>
      <c r="L20" s="47">
        <v>8484.0</v>
      </c>
      <c r="M20" s="46" t="s">
        <v>81</v>
      </c>
      <c r="N20" s="46" t="s">
        <v>43</v>
      </c>
      <c r="O20" s="46" t="s">
        <v>44</v>
      </c>
      <c r="P20" s="43"/>
      <c r="Q20" s="43"/>
      <c r="R20" s="43"/>
      <c r="S20" s="43"/>
      <c r="T20" s="43"/>
      <c r="U20" s="43"/>
      <c r="V20" s="43"/>
      <c r="W20" s="43"/>
      <c r="X20" s="43"/>
      <c r="Y20" s="43"/>
      <c r="Z20" s="43"/>
    </row>
    <row r="21" ht="14.25" customHeight="1">
      <c r="A21" s="48">
        <v>20037.0</v>
      </c>
      <c r="B21" s="44">
        <v>45680.0</v>
      </c>
      <c r="C21" s="48" t="s">
        <v>24</v>
      </c>
      <c r="D21" s="48" t="s">
        <v>52</v>
      </c>
      <c r="E21" s="48" t="s">
        <v>26</v>
      </c>
      <c r="F21" s="48" t="s">
        <v>70</v>
      </c>
      <c r="G21" s="48">
        <v>15.0</v>
      </c>
      <c r="H21" s="49">
        <v>321.0</v>
      </c>
      <c r="I21" s="49">
        <v>4815.0</v>
      </c>
      <c r="J21" s="48">
        <v>10.0</v>
      </c>
      <c r="K21" s="49">
        <v>482.0</v>
      </c>
      <c r="L21" s="49">
        <v>4333.0</v>
      </c>
      <c r="M21" s="48" t="s">
        <v>55</v>
      </c>
      <c r="N21" s="48" t="s">
        <v>62</v>
      </c>
      <c r="O21" s="48" t="s">
        <v>57</v>
      </c>
      <c r="P21" s="43"/>
      <c r="Q21" s="43"/>
      <c r="R21" s="43"/>
      <c r="S21" s="43"/>
      <c r="T21" s="43"/>
      <c r="U21" s="43"/>
      <c r="V21" s="43"/>
      <c r="W21" s="43"/>
      <c r="X21" s="43"/>
      <c r="Y21" s="43"/>
      <c r="Z21" s="43"/>
    </row>
    <row r="22" ht="14.25" customHeight="1">
      <c r="A22" s="46">
        <v>20082.0</v>
      </c>
      <c r="B22" s="44">
        <v>45680.0</v>
      </c>
      <c r="C22" s="46" t="s">
        <v>84</v>
      </c>
      <c r="D22" s="46" t="s">
        <v>46</v>
      </c>
      <c r="E22" s="46" t="s">
        <v>59</v>
      </c>
      <c r="F22" s="46" t="s">
        <v>86</v>
      </c>
      <c r="G22" s="46">
        <v>7.0</v>
      </c>
      <c r="H22" s="47">
        <v>124.0</v>
      </c>
      <c r="I22" s="47">
        <v>868.0</v>
      </c>
      <c r="J22" s="46">
        <v>10.0</v>
      </c>
      <c r="K22" s="47">
        <v>87.0</v>
      </c>
      <c r="L22" s="47">
        <v>781.0</v>
      </c>
      <c r="M22" s="46" t="s">
        <v>55</v>
      </c>
      <c r="N22" s="46" t="s">
        <v>62</v>
      </c>
      <c r="O22" s="46" t="s">
        <v>44</v>
      </c>
      <c r="P22" s="43"/>
      <c r="Q22" s="43"/>
      <c r="R22" s="43"/>
      <c r="S22" s="43"/>
      <c r="T22" s="43"/>
      <c r="U22" s="43"/>
      <c r="V22" s="43"/>
      <c r="W22" s="43"/>
      <c r="X22" s="43"/>
      <c r="Y22" s="43"/>
      <c r="Z22" s="43"/>
    </row>
    <row r="23" ht="14.25" customHeight="1">
      <c r="A23" s="46">
        <v>20086.0</v>
      </c>
      <c r="B23" s="44">
        <v>45681.0</v>
      </c>
      <c r="C23" s="46" t="s">
        <v>84</v>
      </c>
      <c r="D23" s="46" t="s">
        <v>46</v>
      </c>
      <c r="E23" s="46" t="s">
        <v>26</v>
      </c>
      <c r="F23" s="46" t="s">
        <v>74</v>
      </c>
      <c r="G23" s="46">
        <v>6.0</v>
      </c>
      <c r="H23" s="47">
        <v>503.0</v>
      </c>
      <c r="I23" s="47">
        <v>3018.0</v>
      </c>
      <c r="J23" s="46">
        <v>5.0</v>
      </c>
      <c r="K23" s="47">
        <v>151.0</v>
      </c>
      <c r="L23" s="47">
        <v>2867.0</v>
      </c>
      <c r="M23" s="46" t="s">
        <v>49</v>
      </c>
      <c r="N23" s="46" t="s">
        <v>50</v>
      </c>
      <c r="O23" s="46" t="s">
        <v>69</v>
      </c>
      <c r="P23" s="43"/>
      <c r="Q23" s="43"/>
      <c r="R23" s="43"/>
      <c r="S23" s="43"/>
      <c r="T23" s="43"/>
      <c r="U23" s="43"/>
      <c r="V23" s="43"/>
      <c r="W23" s="43"/>
      <c r="X23" s="43"/>
      <c r="Y23" s="43"/>
      <c r="Z23" s="43"/>
    </row>
    <row r="24" ht="14.25" customHeight="1">
      <c r="A24" s="46">
        <v>20196.0</v>
      </c>
      <c r="B24" s="44">
        <v>45682.0</v>
      </c>
      <c r="C24" s="46" t="s">
        <v>45</v>
      </c>
      <c r="D24" s="46" t="s">
        <v>46</v>
      </c>
      <c r="E24" s="46" t="s">
        <v>59</v>
      </c>
      <c r="F24" s="46" t="s">
        <v>83</v>
      </c>
      <c r="G24" s="46">
        <v>6.0</v>
      </c>
      <c r="H24" s="47">
        <v>213.0</v>
      </c>
      <c r="I24" s="47">
        <v>1278.0</v>
      </c>
      <c r="J24" s="46">
        <v>0.0</v>
      </c>
      <c r="K24" s="47">
        <v>0.0</v>
      </c>
      <c r="L24" s="47">
        <v>1278.0</v>
      </c>
      <c r="M24" s="46" t="s">
        <v>87</v>
      </c>
      <c r="N24" s="46" t="s">
        <v>43</v>
      </c>
      <c r="O24" s="46" t="s">
        <v>69</v>
      </c>
      <c r="P24" s="43"/>
      <c r="Q24" s="43"/>
      <c r="R24" s="43"/>
      <c r="S24" s="43"/>
      <c r="T24" s="43"/>
      <c r="U24" s="43"/>
      <c r="V24" s="43"/>
      <c r="W24" s="43"/>
      <c r="X24" s="43"/>
      <c r="Y24" s="43"/>
      <c r="Z24" s="43"/>
    </row>
    <row r="25" ht="14.25" customHeight="1">
      <c r="A25" s="48">
        <v>20113.0</v>
      </c>
      <c r="B25" s="44">
        <v>45684.0</v>
      </c>
      <c r="C25" s="48" t="s">
        <v>76</v>
      </c>
      <c r="D25" s="48" t="s">
        <v>64</v>
      </c>
      <c r="E25" s="48" t="s">
        <v>77</v>
      </c>
      <c r="F25" s="48" t="s">
        <v>88</v>
      </c>
      <c r="G25" s="48">
        <v>1.0</v>
      </c>
      <c r="H25" s="49">
        <v>3129.0</v>
      </c>
      <c r="I25" s="49">
        <v>3129.0</v>
      </c>
      <c r="J25" s="48">
        <v>5.0</v>
      </c>
      <c r="K25" s="49">
        <v>156.0</v>
      </c>
      <c r="L25" s="49">
        <v>2973.0</v>
      </c>
      <c r="M25" s="48" t="s">
        <v>49</v>
      </c>
      <c r="N25" s="48" t="s">
        <v>43</v>
      </c>
      <c r="O25" s="48" t="s">
        <v>44</v>
      </c>
      <c r="P25" s="43"/>
      <c r="Q25" s="43"/>
      <c r="R25" s="43"/>
      <c r="S25" s="43"/>
      <c r="T25" s="43"/>
      <c r="U25" s="43"/>
      <c r="V25" s="43"/>
      <c r="W25" s="43"/>
      <c r="X25" s="43"/>
      <c r="Y25" s="43"/>
      <c r="Z25" s="43"/>
    </row>
    <row r="26" ht="14.25" customHeight="1">
      <c r="A26" s="46">
        <v>20256.0</v>
      </c>
      <c r="B26" s="44">
        <v>45685.0</v>
      </c>
      <c r="C26" s="46" t="s">
        <v>63</v>
      </c>
      <c r="D26" s="46" t="s">
        <v>64</v>
      </c>
      <c r="E26" s="46" t="s">
        <v>59</v>
      </c>
      <c r="F26" s="46" t="s">
        <v>86</v>
      </c>
      <c r="G26" s="46">
        <v>2.0</v>
      </c>
      <c r="H26" s="47">
        <v>364.0</v>
      </c>
      <c r="I26" s="47">
        <v>728.0</v>
      </c>
      <c r="J26" s="46">
        <v>10.0</v>
      </c>
      <c r="K26" s="47">
        <v>73.0</v>
      </c>
      <c r="L26" s="47">
        <v>655.0</v>
      </c>
      <c r="M26" s="46" t="s">
        <v>81</v>
      </c>
      <c r="N26" s="46" t="s">
        <v>72</v>
      </c>
      <c r="O26" s="46" t="s">
        <v>44</v>
      </c>
      <c r="P26" s="43"/>
      <c r="Q26" s="43"/>
      <c r="R26" s="43"/>
      <c r="S26" s="43"/>
      <c r="T26" s="43"/>
      <c r="U26" s="43"/>
      <c r="V26" s="43"/>
      <c r="W26" s="43"/>
      <c r="X26" s="43"/>
      <c r="Y26" s="43"/>
      <c r="Z26" s="43"/>
    </row>
    <row r="27" ht="14.25" customHeight="1">
      <c r="A27" s="48">
        <v>20261.0</v>
      </c>
      <c r="B27" s="44">
        <v>45686.0</v>
      </c>
      <c r="C27" s="48" t="s">
        <v>89</v>
      </c>
      <c r="D27" s="48" t="s">
        <v>46</v>
      </c>
      <c r="E27" s="48" t="s">
        <v>77</v>
      </c>
      <c r="F27" s="48" t="s">
        <v>90</v>
      </c>
      <c r="G27" s="48">
        <v>1.0</v>
      </c>
      <c r="H27" s="49">
        <v>6646.0</v>
      </c>
      <c r="I27" s="49">
        <v>6646.0</v>
      </c>
      <c r="J27" s="48">
        <v>0.0</v>
      </c>
      <c r="K27" s="49">
        <v>0.0</v>
      </c>
      <c r="L27" s="49">
        <v>6646.0</v>
      </c>
      <c r="M27" s="48" t="s">
        <v>87</v>
      </c>
      <c r="N27" s="48" t="s">
        <v>56</v>
      </c>
      <c r="O27" s="48" t="s">
        <v>57</v>
      </c>
      <c r="P27" s="43"/>
      <c r="Q27" s="43"/>
      <c r="R27" s="43"/>
      <c r="S27" s="43"/>
      <c r="T27" s="43"/>
      <c r="U27" s="43"/>
      <c r="V27" s="43"/>
      <c r="W27" s="43"/>
      <c r="X27" s="43"/>
      <c r="Y27" s="43"/>
      <c r="Z27" s="43"/>
    </row>
    <row r="28" ht="14.25" customHeight="1">
      <c r="A28" s="46">
        <v>20014.0</v>
      </c>
      <c r="B28" s="44">
        <v>45687.0</v>
      </c>
      <c r="C28" s="46" t="s">
        <v>63</v>
      </c>
      <c r="D28" s="46" t="s">
        <v>64</v>
      </c>
      <c r="E28" s="46" t="s">
        <v>47</v>
      </c>
      <c r="F28" s="46" t="s">
        <v>91</v>
      </c>
      <c r="G28" s="46">
        <v>2.0</v>
      </c>
      <c r="H28" s="47">
        <v>2380.0</v>
      </c>
      <c r="I28" s="47">
        <v>4760.0</v>
      </c>
      <c r="J28" s="46">
        <v>20.0</v>
      </c>
      <c r="K28" s="47">
        <v>952.0</v>
      </c>
      <c r="L28" s="47">
        <v>3808.0</v>
      </c>
      <c r="M28" s="46" t="s">
        <v>68</v>
      </c>
      <c r="N28" s="46" t="s">
        <v>50</v>
      </c>
      <c r="O28" s="46" t="s">
        <v>57</v>
      </c>
      <c r="P28" s="43"/>
      <c r="Q28" s="43"/>
      <c r="R28" s="43"/>
      <c r="S28" s="43"/>
      <c r="T28" s="43"/>
      <c r="U28" s="43"/>
      <c r="V28" s="43"/>
      <c r="W28" s="43"/>
      <c r="X28" s="43"/>
      <c r="Y28" s="43"/>
      <c r="Z28" s="43"/>
    </row>
    <row r="29" ht="14.25" customHeight="1">
      <c r="A29" s="48">
        <v>20147.0</v>
      </c>
      <c r="B29" s="44">
        <v>45687.0</v>
      </c>
      <c r="C29" s="48" t="s">
        <v>92</v>
      </c>
      <c r="D29" s="48" t="s">
        <v>25</v>
      </c>
      <c r="E29" s="48" t="s">
        <v>59</v>
      </c>
      <c r="F29" s="48" t="s">
        <v>85</v>
      </c>
      <c r="G29" s="48">
        <v>9.0</v>
      </c>
      <c r="H29" s="49">
        <v>371.0</v>
      </c>
      <c r="I29" s="49">
        <v>3339.0</v>
      </c>
      <c r="J29" s="48">
        <v>0.0</v>
      </c>
      <c r="K29" s="49">
        <v>0.0</v>
      </c>
      <c r="L29" s="49">
        <v>3339.0</v>
      </c>
      <c r="M29" s="48" t="s">
        <v>68</v>
      </c>
      <c r="N29" s="48" t="s">
        <v>62</v>
      </c>
      <c r="O29" s="48" t="s">
        <v>69</v>
      </c>
      <c r="P29" s="43"/>
      <c r="Q29" s="43"/>
      <c r="R29" s="43"/>
      <c r="S29" s="43"/>
      <c r="T29" s="43"/>
      <c r="U29" s="43"/>
      <c r="V29" s="43"/>
      <c r="W29" s="43"/>
      <c r="X29" s="43"/>
      <c r="Y29" s="43"/>
      <c r="Z29" s="43"/>
    </row>
    <row r="30" ht="14.25" customHeight="1">
      <c r="A30" s="48">
        <v>20205.0</v>
      </c>
      <c r="B30" s="44">
        <v>45688.0</v>
      </c>
      <c r="C30" s="48" t="s">
        <v>93</v>
      </c>
      <c r="D30" s="48" t="s">
        <v>25</v>
      </c>
      <c r="E30" s="48" t="s">
        <v>26</v>
      </c>
      <c r="F30" s="48" t="s">
        <v>94</v>
      </c>
      <c r="G30" s="48">
        <v>1.0</v>
      </c>
      <c r="H30" s="49">
        <v>126.0</v>
      </c>
      <c r="I30" s="49">
        <v>126.0</v>
      </c>
      <c r="J30" s="48">
        <v>0.0</v>
      </c>
      <c r="K30" s="49">
        <v>0.0</v>
      </c>
      <c r="L30" s="49">
        <v>126.0</v>
      </c>
      <c r="M30" s="48" t="s">
        <v>68</v>
      </c>
      <c r="N30" s="48" t="s">
        <v>62</v>
      </c>
      <c r="O30" s="48" t="s">
        <v>69</v>
      </c>
      <c r="P30" s="43"/>
      <c r="Q30" s="43"/>
      <c r="R30" s="43"/>
      <c r="S30" s="43"/>
      <c r="T30" s="43"/>
      <c r="U30" s="43"/>
      <c r="V30" s="43"/>
      <c r="W30" s="43"/>
      <c r="X30" s="43"/>
      <c r="Y30" s="43"/>
      <c r="Z30" s="43"/>
    </row>
    <row r="31" ht="14.25" customHeight="1">
      <c r="A31" s="46">
        <v>20172.0</v>
      </c>
      <c r="B31" s="44">
        <v>45689.0</v>
      </c>
      <c r="C31" s="46" t="s">
        <v>76</v>
      </c>
      <c r="D31" s="46" t="s">
        <v>64</v>
      </c>
      <c r="E31" s="46" t="s">
        <v>47</v>
      </c>
      <c r="F31" s="46" t="s">
        <v>65</v>
      </c>
      <c r="G31" s="46">
        <v>9.0</v>
      </c>
      <c r="H31" s="47">
        <v>1742.0</v>
      </c>
      <c r="I31" s="47">
        <v>15678.0</v>
      </c>
      <c r="J31" s="46">
        <v>0.0</v>
      </c>
      <c r="K31" s="47">
        <v>0.0</v>
      </c>
      <c r="L31" s="47">
        <v>15678.0</v>
      </c>
      <c r="M31" s="46" t="s">
        <v>68</v>
      </c>
      <c r="N31" s="46" t="s">
        <v>43</v>
      </c>
      <c r="O31" s="46" t="s">
        <v>57</v>
      </c>
      <c r="P31" s="43"/>
      <c r="Q31" s="43"/>
      <c r="R31" s="43"/>
      <c r="S31" s="43"/>
      <c r="T31" s="43"/>
      <c r="U31" s="43"/>
      <c r="V31" s="43"/>
      <c r="W31" s="43"/>
      <c r="X31" s="43"/>
      <c r="Y31" s="43"/>
      <c r="Z31" s="43"/>
    </row>
    <row r="32" ht="14.25" customHeight="1">
      <c r="A32" s="48">
        <v>20263.0</v>
      </c>
      <c r="B32" s="44">
        <v>45690.0</v>
      </c>
      <c r="C32" s="48" t="s">
        <v>66</v>
      </c>
      <c r="D32" s="48" t="s">
        <v>46</v>
      </c>
      <c r="E32" s="48" t="s">
        <v>47</v>
      </c>
      <c r="F32" s="48" t="s">
        <v>91</v>
      </c>
      <c r="G32" s="48">
        <v>8.0</v>
      </c>
      <c r="H32" s="49">
        <v>2245.0</v>
      </c>
      <c r="I32" s="49">
        <v>17960.0</v>
      </c>
      <c r="J32" s="48">
        <v>20.0</v>
      </c>
      <c r="K32" s="49">
        <v>3592.0</v>
      </c>
      <c r="L32" s="49">
        <v>14368.0</v>
      </c>
      <c r="M32" s="48" t="s">
        <v>49</v>
      </c>
      <c r="N32" s="48" t="s">
        <v>50</v>
      </c>
      <c r="O32" s="48" t="s">
        <v>44</v>
      </c>
      <c r="P32" s="43"/>
      <c r="Q32" s="43"/>
      <c r="R32" s="43"/>
      <c r="S32" s="43"/>
      <c r="T32" s="43"/>
      <c r="U32" s="43"/>
      <c r="V32" s="43"/>
      <c r="W32" s="43"/>
      <c r="X32" s="43"/>
      <c r="Y32" s="43"/>
      <c r="Z32" s="43"/>
    </row>
    <row r="33" ht="14.25" customHeight="1">
      <c r="A33" s="48">
        <v>20303.0</v>
      </c>
      <c r="B33" s="44">
        <v>45692.0</v>
      </c>
      <c r="C33" s="48" t="s">
        <v>92</v>
      </c>
      <c r="D33" s="48" t="s">
        <v>25</v>
      </c>
      <c r="E33" s="48" t="s">
        <v>59</v>
      </c>
      <c r="F33" s="48" t="s">
        <v>83</v>
      </c>
      <c r="G33" s="48">
        <v>7.0</v>
      </c>
      <c r="H33" s="49">
        <v>326.0</v>
      </c>
      <c r="I33" s="49">
        <v>2282.0</v>
      </c>
      <c r="J33" s="48">
        <v>20.0</v>
      </c>
      <c r="K33" s="49">
        <v>456.0</v>
      </c>
      <c r="L33" s="49">
        <v>1826.0</v>
      </c>
      <c r="M33" s="48" t="s">
        <v>81</v>
      </c>
      <c r="N33" s="48" t="s">
        <v>56</v>
      </c>
      <c r="O33" s="48" t="s">
        <v>57</v>
      </c>
      <c r="P33" s="43"/>
      <c r="Q33" s="43"/>
      <c r="R33" s="43"/>
      <c r="S33" s="43"/>
      <c r="T33" s="43"/>
      <c r="U33" s="43"/>
      <c r="V33" s="43"/>
      <c r="W33" s="43"/>
      <c r="X33" s="43"/>
      <c r="Y33" s="43"/>
      <c r="Z33" s="43"/>
    </row>
    <row r="34" ht="14.25" customHeight="1">
      <c r="A34" s="48">
        <v>20085.0</v>
      </c>
      <c r="B34" s="44">
        <v>45693.0</v>
      </c>
      <c r="C34" s="48" t="s">
        <v>63</v>
      </c>
      <c r="D34" s="48" t="s">
        <v>64</v>
      </c>
      <c r="E34" s="48" t="s">
        <v>53</v>
      </c>
      <c r="F34" s="48" t="s">
        <v>75</v>
      </c>
      <c r="G34" s="48">
        <v>12.0</v>
      </c>
      <c r="H34" s="49">
        <v>500.0</v>
      </c>
      <c r="I34" s="49">
        <v>6000.0</v>
      </c>
      <c r="J34" s="48">
        <v>5.0</v>
      </c>
      <c r="K34" s="49">
        <v>300.0</v>
      </c>
      <c r="L34" s="49">
        <v>5700.0</v>
      </c>
      <c r="M34" s="48" t="s">
        <v>68</v>
      </c>
      <c r="N34" s="48" t="s">
        <v>72</v>
      </c>
      <c r="O34" s="48" t="s">
        <v>69</v>
      </c>
      <c r="P34" s="43"/>
      <c r="Q34" s="43"/>
      <c r="R34" s="43"/>
      <c r="S34" s="43"/>
      <c r="T34" s="43"/>
      <c r="U34" s="43"/>
      <c r="V34" s="43"/>
      <c r="W34" s="43"/>
      <c r="X34" s="43"/>
      <c r="Y34" s="43"/>
      <c r="Z34" s="43"/>
    </row>
    <row r="35" ht="14.25" customHeight="1">
      <c r="A35" s="48">
        <v>20267.0</v>
      </c>
      <c r="B35" s="44">
        <v>45693.0</v>
      </c>
      <c r="C35" s="48" t="s">
        <v>73</v>
      </c>
      <c r="D35" s="48" t="s">
        <v>52</v>
      </c>
      <c r="E35" s="48" t="s">
        <v>53</v>
      </c>
      <c r="F35" s="48" t="s">
        <v>95</v>
      </c>
      <c r="G35" s="48">
        <v>6.0</v>
      </c>
      <c r="H35" s="49">
        <v>1234.0</v>
      </c>
      <c r="I35" s="49">
        <v>7404.0</v>
      </c>
      <c r="J35" s="48">
        <v>0.0</v>
      </c>
      <c r="K35" s="49">
        <v>0.0</v>
      </c>
      <c r="L35" s="49">
        <v>7404.0</v>
      </c>
      <c r="M35" s="48" t="s">
        <v>96</v>
      </c>
      <c r="N35" s="48" t="s">
        <v>56</v>
      </c>
      <c r="O35" s="48" t="s">
        <v>44</v>
      </c>
      <c r="P35" s="43"/>
      <c r="Q35" s="43"/>
      <c r="R35" s="43"/>
      <c r="S35" s="43"/>
      <c r="T35" s="43"/>
      <c r="U35" s="43"/>
      <c r="V35" s="43"/>
      <c r="W35" s="43"/>
      <c r="X35" s="43"/>
      <c r="Y35" s="43"/>
      <c r="Z35" s="43"/>
    </row>
    <row r="36" ht="14.25" customHeight="1">
      <c r="A36" s="46">
        <v>20026.0</v>
      </c>
      <c r="B36" s="44">
        <v>45695.0</v>
      </c>
      <c r="C36" s="46" t="s">
        <v>97</v>
      </c>
      <c r="D36" s="46" t="s">
        <v>25</v>
      </c>
      <c r="E36" s="46" t="s">
        <v>59</v>
      </c>
      <c r="F36" s="46" t="s">
        <v>83</v>
      </c>
      <c r="G36" s="46">
        <v>10.0</v>
      </c>
      <c r="H36" s="47">
        <v>169.0</v>
      </c>
      <c r="I36" s="47">
        <v>1690.0</v>
      </c>
      <c r="J36" s="46">
        <v>0.0</v>
      </c>
      <c r="K36" s="47">
        <v>0.0</v>
      </c>
      <c r="L36" s="47">
        <v>1690.0</v>
      </c>
      <c r="M36" s="46" t="s">
        <v>68</v>
      </c>
      <c r="N36" s="46" t="s">
        <v>72</v>
      </c>
      <c r="O36" s="46" t="s">
        <v>69</v>
      </c>
      <c r="P36" s="43"/>
      <c r="Q36" s="43"/>
      <c r="R36" s="43"/>
      <c r="S36" s="43"/>
      <c r="T36" s="43"/>
      <c r="U36" s="43"/>
      <c r="V36" s="43"/>
      <c r="W36" s="43"/>
      <c r="X36" s="43"/>
      <c r="Y36" s="43"/>
      <c r="Z36" s="43"/>
    </row>
    <row r="37" ht="14.25" customHeight="1">
      <c r="A37" s="46">
        <v>20042.0</v>
      </c>
      <c r="B37" s="44">
        <v>45695.0</v>
      </c>
      <c r="C37" s="46" t="s">
        <v>73</v>
      </c>
      <c r="D37" s="46" t="s">
        <v>52</v>
      </c>
      <c r="E37" s="46" t="s">
        <v>59</v>
      </c>
      <c r="F37" s="46" t="s">
        <v>83</v>
      </c>
      <c r="G37" s="46">
        <v>4.0</v>
      </c>
      <c r="H37" s="47">
        <v>184.0</v>
      </c>
      <c r="I37" s="47">
        <v>736.0</v>
      </c>
      <c r="J37" s="46">
        <v>15.0</v>
      </c>
      <c r="K37" s="47">
        <v>110.0</v>
      </c>
      <c r="L37" s="47">
        <v>626.0</v>
      </c>
      <c r="M37" s="46" t="s">
        <v>81</v>
      </c>
      <c r="N37" s="46" t="s">
        <v>62</v>
      </c>
      <c r="O37" s="46" t="s">
        <v>44</v>
      </c>
      <c r="P37" s="43"/>
      <c r="Q37" s="43"/>
      <c r="R37" s="43"/>
      <c r="S37" s="43"/>
      <c r="T37" s="43"/>
      <c r="U37" s="43"/>
      <c r="V37" s="43"/>
      <c r="W37" s="43"/>
      <c r="X37" s="43"/>
      <c r="Y37" s="43"/>
      <c r="Z37" s="43"/>
    </row>
    <row r="38" ht="14.25" customHeight="1">
      <c r="A38" s="48">
        <v>20123.0</v>
      </c>
      <c r="B38" s="44">
        <v>45695.0</v>
      </c>
      <c r="C38" s="48" t="s">
        <v>89</v>
      </c>
      <c r="D38" s="48" t="s">
        <v>46</v>
      </c>
      <c r="E38" s="48" t="s">
        <v>59</v>
      </c>
      <c r="F38" s="48" t="s">
        <v>86</v>
      </c>
      <c r="G38" s="48">
        <v>1.0</v>
      </c>
      <c r="H38" s="49">
        <v>99.0</v>
      </c>
      <c r="I38" s="49">
        <v>99.0</v>
      </c>
      <c r="J38" s="48">
        <v>10.0</v>
      </c>
      <c r="K38" s="49">
        <v>10.0</v>
      </c>
      <c r="L38" s="49">
        <v>89.0</v>
      </c>
      <c r="M38" s="48" t="s">
        <v>49</v>
      </c>
      <c r="N38" s="48" t="s">
        <v>56</v>
      </c>
      <c r="O38" s="48" t="s">
        <v>44</v>
      </c>
      <c r="P38" s="43"/>
      <c r="Q38" s="43"/>
      <c r="R38" s="43"/>
      <c r="S38" s="43"/>
      <c r="T38" s="43"/>
      <c r="U38" s="43"/>
      <c r="V38" s="43"/>
      <c r="W38" s="43"/>
      <c r="X38" s="43"/>
      <c r="Y38" s="43"/>
      <c r="Z38" s="43"/>
    </row>
    <row r="39" ht="14.25" customHeight="1">
      <c r="A39" s="46">
        <v>20154.0</v>
      </c>
      <c r="B39" s="44">
        <v>45695.0</v>
      </c>
      <c r="C39" s="46" t="s">
        <v>76</v>
      </c>
      <c r="D39" s="46" t="s">
        <v>64</v>
      </c>
      <c r="E39" s="46" t="s">
        <v>53</v>
      </c>
      <c r="F39" s="46" t="s">
        <v>98</v>
      </c>
      <c r="G39" s="46">
        <v>2.0</v>
      </c>
      <c r="H39" s="47">
        <v>1691.0</v>
      </c>
      <c r="I39" s="47">
        <v>3382.0</v>
      </c>
      <c r="J39" s="46">
        <v>0.0</v>
      </c>
      <c r="K39" s="47">
        <v>0.0</v>
      </c>
      <c r="L39" s="47">
        <v>3382.0</v>
      </c>
      <c r="M39" s="46" t="s">
        <v>87</v>
      </c>
      <c r="N39" s="46" t="s">
        <v>56</v>
      </c>
      <c r="O39" s="46" t="s">
        <v>69</v>
      </c>
      <c r="P39" s="43"/>
      <c r="Q39" s="43"/>
      <c r="R39" s="43"/>
      <c r="S39" s="43"/>
      <c r="T39" s="43"/>
      <c r="U39" s="43"/>
      <c r="V39" s="43"/>
      <c r="W39" s="43"/>
      <c r="X39" s="43"/>
      <c r="Y39" s="43"/>
      <c r="Z39" s="43"/>
    </row>
    <row r="40" ht="14.25" customHeight="1">
      <c r="A40" s="48">
        <v>20189.0</v>
      </c>
      <c r="B40" s="44">
        <v>45695.0</v>
      </c>
      <c r="C40" s="48" t="s">
        <v>93</v>
      </c>
      <c r="D40" s="48" t="s">
        <v>25</v>
      </c>
      <c r="E40" s="48" t="s">
        <v>59</v>
      </c>
      <c r="F40" s="48" t="s">
        <v>85</v>
      </c>
      <c r="G40" s="48">
        <v>12.0</v>
      </c>
      <c r="H40" s="49">
        <v>95.0</v>
      </c>
      <c r="I40" s="49">
        <v>1140.0</v>
      </c>
      <c r="J40" s="48">
        <v>0.0</v>
      </c>
      <c r="K40" s="49">
        <v>0.0</v>
      </c>
      <c r="L40" s="49">
        <v>1140.0</v>
      </c>
      <c r="M40" s="48" t="s">
        <v>96</v>
      </c>
      <c r="N40" s="48" t="s">
        <v>43</v>
      </c>
      <c r="O40" s="48" t="s">
        <v>69</v>
      </c>
      <c r="P40" s="43"/>
      <c r="Q40" s="43"/>
      <c r="R40" s="43"/>
      <c r="S40" s="43"/>
      <c r="T40" s="43"/>
      <c r="U40" s="43"/>
      <c r="V40" s="43"/>
      <c r="W40" s="43"/>
      <c r="X40" s="43"/>
      <c r="Y40" s="43"/>
      <c r="Z40" s="43"/>
    </row>
    <row r="41" ht="14.25" customHeight="1">
      <c r="A41" s="48">
        <v>20359.0</v>
      </c>
      <c r="B41" s="44">
        <v>45695.0</v>
      </c>
      <c r="C41" s="48" t="s">
        <v>84</v>
      </c>
      <c r="D41" s="48" t="s">
        <v>46</v>
      </c>
      <c r="E41" s="48" t="s">
        <v>47</v>
      </c>
      <c r="F41" s="48" t="s">
        <v>65</v>
      </c>
      <c r="G41" s="48">
        <v>3.0</v>
      </c>
      <c r="H41" s="49">
        <v>1902.0</v>
      </c>
      <c r="I41" s="49">
        <v>5706.0</v>
      </c>
      <c r="J41" s="48">
        <v>10.0</v>
      </c>
      <c r="K41" s="49">
        <v>571.0</v>
      </c>
      <c r="L41" s="49">
        <v>5135.0</v>
      </c>
      <c r="M41" s="48" t="s">
        <v>87</v>
      </c>
      <c r="N41" s="48" t="s">
        <v>43</v>
      </c>
      <c r="O41" s="48" t="s">
        <v>69</v>
      </c>
      <c r="P41" s="43"/>
      <c r="Q41" s="43"/>
      <c r="R41" s="43"/>
      <c r="S41" s="43"/>
      <c r="T41" s="43"/>
      <c r="U41" s="43"/>
      <c r="V41" s="43"/>
      <c r="W41" s="43"/>
      <c r="X41" s="43"/>
      <c r="Y41" s="43"/>
      <c r="Z41" s="43"/>
    </row>
    <row r="42" ht="14.25" customHeight="1">
      <c r="A42" s="48">
        <v>20273.0</v>
      </c>
      <c r="B42" s="44">
        <v>45696.0</v>
      </c>
      <c r="C42" s="48" t="s">
        <v>99</v>
      </c>
      <c r="D42" s="48" t="s">
        <v>64</v>
      </c>
      <c r="E42" s="48" t="s">
        <v>77</v>
      </c>
      <c r="F42" s="48" t="s">
        <v>88</v>
      </c>
      <c r="G42" s="48">
        <v>2.0</v>
      </c>
      <c r="H42" s="49">
        <v>1765.0</v>
      </c>
      <c r="I42" s="49">
        <v>3530.0</v>
      </c>
      <c r="J42" s="48">
        <v>0.0</v>
      </c>
      <c r="K42" s="49">
        <v>0.0</v>
      </c>
      <c r="L42" s="49">
        <v>3530.0</v>
      </c>
      <c r="M42" s="48" t="s">
        <v>61</v>
      </c>
      <c r="N42" s="48" t="s">
        <v>62</v>
      </c>
      <c r="O42" s="48" t="s">
        <v>57</v>
      </c>
      <c r="P42" s="43"/>
      <c r="Q42" s="43"/>
      <c r="R42" s="43"/>
      <c r="S42" s="43"/>
      <c r="T42" s="43"/>
      <c r="U42" s="43"/>
      <c r="V42" s="43"/>
      <c r="W42" s="43"/>
      <c r="X42" s="43"/>
      <c r="Y42" s="43"/>
      <c r="Z42" s="43"/>
    </row>
    <row r="43" ht="14.25" customHeight="1">
      <c r="A43" s="48">
        <v>20119.0</v>
      </c>
      <c r="B43" s="44">
        <v>45698.0</v>
      </c>
      <c r="C43" s="48" t="s">
        <v>51</v>
      </c>
      <c r="D43" s="48" t="s">
        <v>52</v>
      </c>
      <c r="E43" s="48" t="s">
        <v>53</v>
      </c>
      <c r="F43" s="48" t="s">
        <v>98</v>
      </c>
      <c r="G43" s="48">
        <v>6.0</v>
      </c>
      <c r="H43" s="49">
        <v>1894.0</v>
      </c>
      <c r="I43" s="49">
        <v>11364.0</v>
      </c>
      <c r="J43" s="48">
        <v>10.0</v>
      </c>
      <c r="K43" s="49">
        <v>1136.0</v>
      </c>
      <c r="L43" s="49">
        <v>10228.0</v>
      </c>
      <c r="M43" s="48" t="s">
        <v>71</v>
      </c>
      <c r="N43" s="48" t="s">
        <v>56</v>
      </c>
      <c r="O43" s="48" t="s">
        <v>57</v>
      </c>
      <c r="P43" s="43"/>
      <c r="Q43" s="43"/>
      <c r="R43" s="43"/>
      <c r="S43" s="43"/>
      <c r="T43" s="43"/>
      <c r="U43" s="43"/>
      <c r="V43" s="43"/>
      <c r="W43" s="43"/>
      <c r="X43" s="43"/>
      <c r="Y43" s="43"/>
      <c r="Z43" s="43"/>
    </row>
    <row r="44" ht="14.25" customHeight="1">
      <c r="A44" s="46">
        <v>20060.0</v>
      </c>
      <c r="B44" s="44">
        <v>45701.0</v>
      </c>
      <c r="C44" s="46" t="s">
        <v>63</v>
      </c>
      <c r="D44" s="46" t="s">
        <v>64</v>
      </c>
      <c r="E44" s="46" t="s">
        <v>59</v>
      </c>
      <c r="F44" s="46" t="s">
        <v>86</v>
      </c>
      <c r="G44" s="46">
        <v>9.0</v>
      </c>
      <c r="H44" s="47">
        <v>390.0</v>
      </c>
      <c r="I44" s="47">
        <v>3510.0</v>
      </c>
      <c r="J44" s="46">
        <v>5.0</v>
      </c>
      <c r="K44" s="47">
        <v>176.0</v>
      </c>
      <c r="L44" s="47">
        <v>3334.0</v>
      </c>
      <c r="M44" s="46" t="s">
        <v>81</v>
      </c>
      <c r="N44" s="46" t="s">
        <v>62</v>
      </c>
      <c r="O44" s="46" t="s">
        <v>44</v>
      </c>
      <c r="P44" s="43"/>
      <c r="Q44" s="43"/>
      <c r="R44" s="43"/>
      <c r="S44" s="43"/>
      <c r="T44" s="43"/>
      <c r="U44" s="43"/>
      <c r="V44" s="43"/>
      <c r="W44" s="43"/>
      <c r="X44" s="43"/>
      <c r="Y44" s="43"/>
      <c r="Z44" s="43"/>
    </row>
    <row r="45" ht="14.25" customHeight="1">
      <c r="A45" s="48">
        <v>20075.0</v>
      </c>
      <c r="B45" s="44">
        <v>45703.0</v>
      </c>
      <c r="C45" s="48" t="s">
        <v>84</v>
      </c>
      <c r="D45" s="48" t="s">
        <v>46</v>
      </c>
      <c r="E45" s="48" t="s">
        <v>53</v>
      </c>
      <c r="F45" s="48" t="s">
        <v>95</v>
      </c>
      <c r="G45" s="48">
        <v>2.0</v>
      </c>
      <c r="H45" s="49">
        <v>1352.0</v>
      </c>
      <c r="I45" s="49">
        <v>2704.0</v>
      </c>
      <c r="J45" s="48">
        <v>5.0</v>
      </c>
      <c r="K45" s="49">
        <v>135.0</v>
      </c>
      <c r="L45" s="49">
        <v>2569.0</v>
      </c>
      <c r="M45" s="48" t="s">
        <v>61</v>
      </c>
      <c r="N45" s="48" t="s">
        <v>62</v>
      </c>
      <c r="O45" s="48" t="s">
        <v>69</v>
      </c>
      <c r="P45" s="43"/>
      <c r="Q45" s="43"/>
      <c r="R45" s="43"/>
      <c r="S45" s="43"/>
      <c r="T45" s="43"/>
      <c r="U45" s="43"/>
      <c r="V45" s="43"/>
      <c r="W45" s="43"/>
      <c r="X45" s="43"/>
      <c r="Y45" s="43"/>
      <c r="Z45" s="43"/>
    </row>
    <row r="46" ht="14.25" customHeight="1">
      <c r="A46" s="46">
        <v>20320.0</v>
      </c>
      <c r="B46" s="44">
        <v>45703.0</v>
      </c>
      <c r="C46" s="46" t="s">
        <v>63</v>
      </c>
      <c r="D46" s="46" t="s">
        <v>64</v>
      </c>
      <c r="E46" s="46" t="s">
        <v>53</v>
      </c>
      <c r="F46" s="46" t="s">
        <v>75</v>
      </c>
      <c r="G46" s="46">
        <v>12.0</v>
      </c>
      <c r="H46" s="47">
        <v>977.0</v>
      </c>
      <c r="I46" s="47">
        <v>11724.0</v>
      </c>
      <c r="J46" s="46">
        <v>10.0</v>
      </c>
      <c r="K46" s="47">
        <v>1172.0</v>
      </c>
      <c r="L46" s="47">
        <v>10552.0</v>
      </c>
      <c r="M46" s="46" t="s">
        <v>96</v>
      </c>
      <c r="N46" s="46" t="s">
        <v>43</v>
      </c>
      <c r="O46" s="46" t="s">
        <v>69</v>
      </c>
      <c r="P46" s="43"/>
      <c r="Q46" s="43"/>
      <c r="R46" s="43"/>
      <c r="S46" s="43"/>
      <c r="T46" s="43"/>
      <c r="U46" s="43"/>
      <c r="V46" s="43"/>
      <c r="W46" s="43"/>
      <c r="X46" s="43"/>
      <c r="Y46" s="43"/>
      <c r="Z46" s="43"/>
    </row>
    <row r="47" ht="14.25" customHeight="1">
      <c r="A47" s="46">
        <v>20250.0</v>
      </c>
      <c r="B47" s="44">
        <v>45704.0</v>
      </c>
      <c r="C47" s="46" t="s">
        <v>58</v>
      </c>
      <c r="D47" s="46" t="s">
        <v>25</v>
      </c>
      <c r="E47" s="46" t="s">
        <v>26</v>
      </c>
      <c r="F47" s="46" t="s">
        <v>100</v>
      </c>
      <c r="G47" s="46">
        <v>8.0</v>
      </c>
      <c r="H47" s="47">
        <v>199.0</v>
      </c>
      <c r="I47" s="47">
        <v>1592.0</v>
      </c>
      <c r="J47" s="46">
        <v>15.0</v>
      </c>
      <c r="K47" s="47">
        <v>239.0</v>
      </c>
      <c r="L47" s="47">
        <v>1353.0</v>
      </c>
      <c r="M47" s="46" t="s">
        <v>42</v>
      </c>
      <c r="N47" s="46" t="s">
        <v>62</v>
      </c>
      <c r="O47" s="46" t="s">
        <v>69</v>
      </c>
      <c r="P47" s="43"/>
      <c r="Q47" s="43"/>
      <c r="R47" s="43"/>
      <c r="S47" s="43"/>
      <c r="T47" s="43"/>
      <c r="U47" s="43"/>
      <c r="V47" s="43"/>
      <c r="W47" s="43"/>
      <c r="X47" s="43"/>
      <c r="Y47" s="43"/>
      <c r="Z47" s="43"/>
    </row>
    <row r="48" ht="14.25" customHeight="1">
      <c r="A48" s="46">
        <v>20336.0</v>
      </c>
      <c r="B48" s="44">
        <v>45705.0</v>
      </c>
      <c r="C48" s="46" t="s">
        <v>45</v>
      </c>
      <c r="D48" s="46" t="s">
        <v>46</v>
      </c>
      <c r="E48" s="46" t="s">
        <v>53</v>
      </c>
      <c r="F48" s="46" t="s">
        <v>75</v>
      </c>
      <c r="G48" s="46">
        <v>2.0</v>
      </c>
      <c r="H48" s="47">
        <v>1233.0</v>
      </c>
      <c r="I48" s="47">
        <v>2466.0</v>
      </c>
      <c r="J48" s="46">
        <v>15.0</v>
      </c>
      <c r="K48" s="47">
        <v>370.0</v>
      </c>
      <c r="L48" s="47">
        <v>2096.0</v>
      </c>
      <c r="M48" s="46" t="s">
        <v>42</v>
      </c>
      <c r="N48" s="46" t="s">
        <v>43</v>
      </c>
      <c r="O48" s="46" t="s">
        <v>57</v>
      </c>
      <c r="P48" s="43"/>
      <c r="Q48" s="43"/>
      <c r="R48" s="43"/>
      <c r="S48" s="43"/>
      <c r="T48" s="43"/>
      <c r="U48" s="43"/>
      <c r="V48" s="43"/>
      <c r="W48" s="43"/>
      <c r="X48" s="43"/>
      <c r="Y48" s="43"/>
      <c r="Z48" s="43"/>
    </row>
    <row r="49" ht="14.25" customHeight="1">
      <c r="A49" s="46">
        <v>20068.0</v>
      </c>
      <c r="B49" s="44">
        <v>45708.0</v>
      </c>
      <c r="C49" s="46" t="s">
        <v>99</v>
      </c>
      <c r="D49" s="46" t="s">
        <v>64</v>
      </c>
      <c r="E49" s="46" t="s">
        <v>77</v>
      </c>
      <c r="F49" s="46" t="s">
        <v>101</v>
      </c>
      <c r="G49" s="46">
        <v>11.0</v>
      </c>
      <c r="H49" s="47">
        <v>2186.0</v>
      </c>
      <c r="I49" s="47">
        <v>24046.0</v>
      </c>
      <c r="J49" s="46">
        <v>0.0</v>
      </c>
      <c r="K49" s="47">
        <v>0.0</v>
      </c>
      <c r="L49" s="47">
        <v>24046.0</v>
      </c>
      <c r="M49" s="46" t="s">
        <v>68</v>
      </c>
      <c r="N49" s="46" t="s">
        <v>62</v>
      </c>
      <c r="O49" s="46" t="s">
        <v>44</v>
      </c>
      <c r="P49" s="43"/>
      <c r="Q49" s="43"/>
      <c r="R49" s="43"/>
      <c r="S49" s="43"/>
      <c r="T49" s="43"/>
      <c r="U49" s="43"/>
      <c r="V49" s="43"/>
      <c r="W49" s="43"/>
      <c r="X49" s="43"/>
      <c r="Y49" s="43"/>
      <c r="Z49" s="43"/>
    </row>
    <row r="50" ht="14.25" customHeight="1">
      <c r="A50" s="46">
        <v>20006.0</v>
      </c>
      <c r="B50" s="44">
        <v>45709.0</v>
      </c>
      <c r="C50" s="46" t="s">
        <v>51</v>
      </c>
      <c r="D50" s="46" t="s">
        <v>52</v>
      </c>
      <c r="E50" s="46" t="s">
        <v>53</v>
      </c>
      <c r="F50" s="46" t="s">
        <v>48</v>
      </c>
      <c r="G50" s="46">
        <v>11.0</v>
      </c>
      <c r="H50" s="47">
        <v>1057.0</v>
      </c>
      <c r="I50" s="47">
        <v>11627.0</v>
      </c>
      <c r="J50" s="46">
        <v>15.0</v>
      </c>
      <c r="K50" s="47">
        <v>1744.0</v>
      </c>
      <c r="L50" s="47">
        <v>9883.0</v>
      </c>
      <c r="M50" s="46" t="s">
        <v>96</v>
      </c>
      <c r="N50" s="46" t="s">
        <v>62</v>
      </c>
      <c r="O50" s="46" t="s">
        <v>57</v>
      </c>
      <c r="P50" s="43"/>
      <c r="Q50" s="43"/>
      <c r="R50" s="43"/>
      <c r="S50" s="43"/>
      <c r="T50" s="43"/>
      <c r="U50" s="43"/>
      <c r="V50" s="43"/>
      <c r="W50" s="43"/>
      <c r="X50" s="43"/>
      <c r="Y50" s="43"/>
      <c r="Z50" s="43"/>
    </row>
    <row r="51" ht="14.25" customHeight="1">
      <c r="A51" s="48">
        <v>20083.0</v>
      </c>
      <c r="B51" s="44">
        <v>45709.0</v>
      </c>
      <c r="C51" s="48" t="s">
        <v>73</v>
      </c>
      <c r="D51" s="48" t="s">
        <v>52</v>
      </c>
      <c r="E51" s="48" t="s">
        <v>26</v>
      </c>
      <c r="F51" s="48" t="s">
        <v>94</v>
      </c>
      <c r="G51" s="48">
        <v>3.0</v>
      </c>
      <c r="H51" s="49">
        <v>539.0</v>
      </c>
      <c r="I51" s="49">
        <v>1617.0</v>
      </c>
      <c r="J51" s="48">
        <v>5.0</v>
      </c>
      <c r="K51" s="49">
        <v>81.0</v>
      </c>
      <c r="L51" s="49">
        <v>1536.0</v>
      </c>
      <c r="M51" s="48" t="s">
        <v>96</v>
      </c>
      <c r="N51" s="48" t="s">
        <v>72</v>
      </c>
      <c r="O51" s="48" t="s">
        <v>57</v>
      </c>
      <c r="P51" s="43"/>
      <c r="Q51" s="43"/>
      <c r="R51" s="43"/>
      <c r="S51" s="43"/>
      <c r="T51" s="43"/>
      <c r="U51" s="43"/>
      <c r="V51" s="43"/>
      <c r="W51" s="43"/>
      <c r="X51" s="43"/>
      <c r="Y51" s="43"/>
      <c r="Z51" s="43"/>
    </row>
    <row r="52" ht="14.25" customHeight="1">
      <c r="A52" s="46">
        <v>20130.0</v>
      </c>
      <c r="B52" s="44">
        <v>45709.0</v>
      </c>
      <c r="C52" s="46" t="s">
        <v>93</v>
      </c>
      <c r="D52" s="46" t="s">
        <v>25</v>
      </c>
      <c r="E52" s="46" t="s">
        <v>53</v>
      </c>
      <c r="F52" s="46" t="s">
        <v>54</v>
      </c>
      <c r="G52" s="46">
        <v>3.0</v>
      </c>
      <c r="H52" s="47">
        <v>631.0</v>
      </c>
      <c r="I52" s="47">
        <v>1893.0</v>
      </c>
      <c r="J52" s="46">
        <v>15.0</v>
      </c>
      <c r="K52" s="47">
        <v>284.0</v>
      </c>
      <c r="L52" s="47">
        <v>1609.0</v>
      </c>
      <c r="M52" s="46" t="s">
        <v>42</v>
      </c>
      <c r="N52" s="46" t="s">
        <v>62</v>
      </c>
      <c r="O52" s="46" t="s">
        <v>44</v>
      </c>
      <c r="P52" s="43"/>
      <c r="Q52" s="43"/>
      <c r="R52" s="43"/>
      <c r="S52" s="43"/>
      <c r="T52" s="43"/>
      <c r="U52" s="43"/>
      <c r="V52" s="43"/>
      <c r="W52" s="43"/>
      <c r="X52" s="43"/>
      <c r="Y52" s="43"/>
      <c r="Z52" s="43"/>
    </row>
    <row r="53" ht="14.25" customHeight="1">
      <c r="A53" s="46">
        <v>20254.0</v>
      </c>
      <c r="B53" s="44">
        <v>45709.0</v>
      </c>
      <c r="C53" s="46" t="s">
        <v>76</v>
      </c>
      <c r="D53" s="46" t="s">
        <v>64</v>
      </c>
      <c r="E53" s="46" t="s">
        <v>26</v>
      </c>
      <c r="F53" s="46" t="s">
        <v>70</v>
      </c>
      <c r="G53" s="46">
        <v>12.0</v>
      </c>
      <c r="H53" s="47">
        <v>513.0</v>
      </c>
      <c r="I53" s="47">
        <v>6156.0</v>
      </c>
      <c r="J53" s="46">
        <v>0.0</v>
      </c>
      <c r="K53" s="47">
        <v>0.0</v>
      </c>
      <c r="L53" s="47">
        <v>6156.0</v>
      </c>
      <c r="M53" s="46" t="s">
        <v>96</v>
      </c>
      <c r="N53" s="46" t="s">
        <v>62</v>
      </c>
      <c r="O53" s="46" t="s">
        <v>69</v>
      </c>
      <c r="P53" s="43"/>
      <c r="Q53" s="43"/>
      <c r="R53" s="43"/>
      <c r="S53" s="43"/>
      <c r="T53" s="43"/>
      <c r="U53" s="43"/>
      <c r="V53" s="43"/>
      <c r="W53" s="43"/>
      <c r="X53" s="43"/>
      <c r="Y53" s="43"/>
      <c r="Z53" s="43"/>
    </row>
    <row r="54" ht="14.25" customHeight="1">
      <c r="A54" s="46">
        <v>20410.0</v>
      </c>
      <c r="B54" s="44">
        <v>45709.0</v>
      </c>
      <c r="C54" s="46" t="s">
        <v>84</v>
      </c>
      <c r="D54" s="46" t="s">
        <v>46</v>
      </c>
      <c r="E54" s="46" t="s">
        <v>53</v>
      </c>
      <c r="F54" s="46" t="s">
        <v>54</v>
      </c>
      <c r="G54" s="46">
        <v>14.0</v>
      </c>
      <c r="H54" s="47">
        <v>1422.0</v>
      </c>
      <c r="I54" s="47">
        <v>19908.0</v>
      </c>
      <c r="J54" s="46">
        <v>0.0</v>
      </c>
      <c r="K54" s="47">
        <v>0.0</v>
      </c>
      <c r="L54" s="47">
        <v>19908.0</v>
      </c>
      <c r="M54" s="46" t="s">
        <v>42</v>
      </c>
      <c r="N54" s="46" t="s">
        <v>56</v>
      </c>
      <c r="O54" s="46" t="s">
        <v>44</v>
      </c>
      <c r="P54" s="43"/>
      <c r="Q54" s="43"/>
      <c r="R54" s="43"/>
      <c r="S54" s="43"/>
      <c r="T54" s="43"/>
      <c r="U54" s="43"/>
      <c r="V54" s="43"/>
      <c r="W54" s="43"/>
      <c r="X54" s="43"/>
      <c r="Y54" s="43"/>
      <c r="Z54" s="43"/>
    </row>
    <row r="55" ht="14.25" customHeight="1">
      <c r="A55" s="46">
        <v>20028.0</v>
      </c>
      <c r="B55" s="44">
        <v>45711.0</v>
      </c>
      <c r="C55" s="46" t="s">
        <v>76</v>
      </c>
      <c r="D55" s="46" t="s">
        <v>64</v>
      </c>
      <c r="E55" s="46" t="s">
        <v>53</v>
      </c>
      <c r="F55" s="46" t="s">
        <v>102</v>
      </c>
      <c r="G55" s="46">
        <v>15.0</v>
      </c>
      <c r="H55" s="47">
        <v>1432.0</v>
      </c>
      <c r="I55" s="47">
        <v>21480.0</v>
      </c>
      <c r="J55" s="46">
        <v>0.0</v>
      </c>
      <c r="K55" s="47">
        <v>0.0</v>
      </c>
      <c r="L55" s="47">
        <v>21480.0</v>
      </c>
      <c r="M55" s="46" t="s">
        <v>49</v>
      </c>
      <c r="N55" s="46" t="s">
        <v>50</v>
      </c>
      <c r="O55" s="46" t="s">
        <v>57</v>
      </c>
      <c r="P55" s="43"/>
      <c r="Q55" s="43"/>
      <c r="R55" s="43"/>
      <c r="S55" s="43"/>
      <c r="T55" s="43"/>
      <c r="U55" s="43"/>
      <c r="V55" s="43"/>
      <c r="W55" s="43"/>
      <c r="X55" s="43"/>
      <c r="Y55" s="43"/>
      <c r="Z55" s="43"/>
    </row>
    <row r="56" ht="14.25" customHeight="1">
      <c r="A56" s="48">
        <v>20227.0</v>
      </c>
      <c r="B56" s="44">
        <v>45712.0</v>
      </c>
      <c r="C56" s="48" t="s">
        <v>97</v>
      </c>
      <c r="D56" s="48" t="s">
        <v>25</v>
      </c>
      <c r="E56" s="48" t="s">
        <v>26</v>
      </c>
      <c r="F56" s="48" t="s">
        <v>74</v>
      </c>
      <c r="G56" s="48">
        <v>4.0</v>
      </c>
      <c r="H56" s="49">
        <v>642.0</v>
      </c>
      <c r="I56" s="49">
        <v>2568.0</v>
      </c>
      <c r="J56" s="48">
        <v>5.0</v>
      </c>
      <c r="K56" s="49">
        <v>128.0</v>
      </c>
      <c r="L56" s="49">
        <v>2440.0</v>
      </c>
      <c r="M56" s="48" t="s">
        <v>55</v>
      </c>
      <c r="N56" s="48" t="s">
        <v>43</v>
      </c>
      <c r="O56" s="48" t="s">
        <v>44</v>
      </c>
      <c r="P56" s="43"/>
      <c r="Q56" s="43"/>
      <c r="R56" s="43"/>
      <c r="S56" s="43"/>
      <c r="T56" s="43"/>
      <c r="U56" s="43"/>
      <c r="V56" s="43"/>
      <c r="W56" s="43"/>
      <c r="X56" s="43"/>
      <c r="Y56" s="43"/>
      <c r="Z56" s="43"/>
    </row>
    <row r="57" ht="14.25" customHeight="1">
      <c r="A57" s="48">
        <v>20367.0</v>
      </c>
      <c r="B57" s="44">
        <v>45712.0</v>
      </c>
      <c r="C57" s="48" t="s">
        <v>89</v>
      </c>
      <c r="D57" s="48" t="s">
        <v>46</v>
      </c>
      <c r="E57" s="48" t="s">
        <v>53</v>
      </c>
      <c r="F57" s="48" t="s">
        <v>54</v>
      </c>
      <c r="G57" s="48">
        <v>2.0</v>
      </c>
      <c r="H57" s="49">
        <v>1195.0</v>
      </c>
      <c r="I57" s="49">
        <v>2390.0</v>
      </c>
      <c r="J57" s="48">
        <v>20.0</v>
      </c>
      <c r="K57" s="49">
        <v>478.0</v>
      </c>
      <c r="L57" s="49">
        <v>1912.0</v>
      </c>
      <c r="M57" s="48" t="s">
        <v>81</v>
      </c>
      <c r="N57" s="48" t="s">
        <v>43</v>
      </c>
      <c r="O57" s="48" t="s">
        <v>69</v>
      </c>
      <c r="P57" s="43"/>
      <c r="Q57" s="43"/>
      <c r="R57" s="43"/>
      <c r="S57" s="43"/>
      <c r="T57" s="43"/>
      <c r="U57" s="43"/>
      <c r="V57" s="43"/>
      <c r="W57" s="43"/>
      <c r="X57" s="43"/>
      <c r="Y57" s="43"/>
      <c r="Z57" s="43"/>
    </row>
    <row r="58" ht="14.25" customHeight="1">
      <c r="A58" s="48">
        <v>20393.0</v>
      </c>
      <c r="B58" s="44">
        <v>45712.0</v>
      </c>
      <c r="C58" s="48" t="s">
        <v>76</v>
      </c>
      <c r="D58" s="48" t="s">
        <v>64</v>
      </c>
      <c r="E58" s="48" t="s">
        <v>59</v>
      </c>
      <c r="F58" s="48" t="s">
        <v>83</v>
      </c>
      <c r="G58" s="48">
        <v>5.0</v>
      </c>
      <c r="H58" s="49">
        <v>276.0</v>
      </c>
      <c r="I58" s="49">
        <v>1380.0</v>
      </c>
      <c r="J58" s="48">
        <v>10.0</v>
      </c>
      <c r="K58" s="49">
        <v>138.0</v>
      </c>
      <c r="L58" s="49">
        <v>1242.0</v>
      </c>
      <c r="M58" s="48" t="s">
        <v>96</v>
      </c>
      <c r="N58" s="48" t="s">
        <v>43</v>
      </c>
      <c r="O58" s="48" t="s">
        <v>69</v>
      </c>
      <c r="P58" s="43"/>
      <c r="Q58" s="43"/>
      <c r="R58" s="43"/>
      <c r="S58" s="43"/>
      <c r="T58" s="43"/>
      <c r="U58" s="43"/>
      <c r="V58" s="43"/>
      <c r="W58" s="43"/>
      <c r="X58" s="43"/>
      <c r="Y58" s="43"/>
      <c r="Z58" s="43"/>
    </row>
    <row r="59" ht="14.25" customHeight="1">
      <c r="A59" s="48">
        <v>20103.0</v>
      </c>
      <c r="B59" s="44">
        <v>45713.0</v>
      </c>
      <c r="C59" s="48" t="s">
        <v>73</v>
      </c>
      <c r="D59" s="48" t="s">
        <v>52</v>
      </c>
      <c r="E59" s="48" t="s">
        <v>47</v>
      </c>
      <c r="F59" s="48" t="s">
        <v>65</v>
      </c>
      <c r="G59" s="48">
        <v>10.0</v>
      </c>
      <c r="H59" s="49">
        <v>1434.0</v>
      </c>
      <c r="I59" s="49">
        <v>14340.0</v>
      </c>
      <c r="J59" s="48">
        <v>5.0</v>
      </c>
      <c r="K59" s="49">
        <v>717.0</v>
      </c>
      <c r="L59" s="49">
        <v>13623.0</v>
      </c>
      <c r="M59" s="48" t="s">
        <v>81</v>
      </c>
      <c r="N59" s="48" t="s">
        <v>62</v>
      </c>
      <c r="O59" s="48" t="s">
        <v>44</v>
      </c>
      <c r="P59" s="43"/>
      <c r="Q59" s="43"/>
      <c r="R59" s="43"/>
      <c r="S59" s="43"/>
      <c r="T59" s="43"/>
      <c r="U59" s="43"/>
      <c r="V59" s="43"/>
      <c r="W59" s="43"/>
      <c r="X59" s="43"/>
      <c r="Y59" s="43"/>
      <c r="Z59" s="43"/>
    </row>
    <row r="60" ht="14.25" customHeight="1">
      <c r="A60" s="46">
        <v>20138.0</v>
      </c>
      <c r="B60" s="44">
        <v>45714.0</v>
      </c>
      <c r="C60" s="46" t="s">
        <v>82</v>
      </c>
      <c r="D60" s="46" t="s">
        <v>52</v>
      </c>
      <c r="E60" s="46" t="s">
        <v>47</v>
      </c>
      <c r="F60" s="46" t="s">
        <v>103</v>
      </c>
      <c r="G60" s="46">
        <v>1.0</v>
      </c>
      <c r="H60" s="47">
        <v>787.0</v>
      </c>
      <c r="I60" s="47">
        <v>787.0</v>
      </c>
      <c r="J60" s="46">
        <v>0.0</v>
      </c>
      <c r="K60" s="47">
        <v>0.0</v>
      </c>
      <c r="L60" s="47">
        <v>787.0</v>
      </c>
      <c r="M60" s="46" t="s">
        <v>61</v>
      </c>
      <c r="N60" s="46" t="s">
        <v>62</v>
      </c>
      <c r="O60" s="46" t="s">
        <v>57</v>
      </c>
      <c r="P60" s="43"/>
      <c r="Q60" s="43"/>
      <c r="R60" s="43"/>
      <c r="S60" s="43"/>
      <c r="T60" s="43"/>
      <c r="U60" s="43"/>
      <c r="V60" s="43"/>
      <c r="W60" s="43"/>
      <c r="X60" s="43"/>
      <c r="Y60" s="43"/>
      <c r="Z60" s="43"/>
    </row>
    <row r="61" ht="14.25" customHeight="1">
      <c r="A61" s="46">
        <v>20298.0</v>
      </c>
      <c r="B61" s="44">
        <v>45717.0</v>
      </c>
      <c r="C61" s="46" t="s">
        <v>89</v>
      </c>
      <c r="D61" s="46" t="s">
        <v>46</v>
      </c>
      <c r="E61" s="46" t="s">
        <v>59</v>
      </c>
      <c r="F61" s="46" t="s">
        <v>86</v>
      </c>
      <c r="G61" s="46">
        <v>8.0</v>
      </c>
      <c r="H61" s="47">
        <v>338.0</v>
      </c>
      <c r="I61" s="47">
        <v>2704.0</v>
      </c>
      <c r="J61" s="46">
        <v>0.0</v>
      </c>
      <c r="K61" s="47">
        <v>0.0</v>
      </c>
      <c r="L61" s="47">
        <v>2704.0</v>
      </c>
      <c r="M61" s="46" t="s">
        <v>55</v>
      </c>
      <c r="N61" s="46" t="s">
        <v>43</v>
      </c>
      <c r="O61" s="46" t="s">
        <v>44</v>
      </c>
      <c r="P61" s="43"/>
      <c r="Q61" s="43"/>
      <c r="R61" s="43"/>
      <c r="S61" s="43"/>
      <c r="T61" s="43"/>
      <c r="U61" s="43"/>
      <c r="V61" s="43"/>
      <c r="W61" s="43"/>
      <c r="X61" s="43"/>
      <c r="Y61" s="43"/>
      <c r="Z61" s="43"/>
    </row>
    <row r="62" ht="14.25" customHeight="1">
      <c r="A62" s="48">
        <v>20335.0</v>
      </c>
      <c r="B62" s="44">
        <v>45717.0</v>
      </c>
      <c r="C62" s="48" t="s">
        <v>58</v>
      </c>
      <c r="D62" s="48" t="s">
        <v>25</v>
      </c>
      <c r="E62" s="48" t="s">
        <v>26</v>
      </c>
      <c r="F62" s="48" t="s">
        <v>104</v>
      </c>
      <c r="G62" s="48">
        <v>14.0</v>
      </c>
      <c r="H62" s="49">
        <v>261.0</v>
      </c>
      <c r="I62" s="49">
        <v>3654.0</v>
      </c>
      <c r="J62" s="48">
        <v>0.0</v>
      </c>
      <c r="K62" s="49">
        <v>0.0</v>
      </c>
      <c r="L62" s="49">
        <v>3654.0</v>
      </c>
      <c r="M62" s="48" t="s">
        <v>42</v>
      </c>
      <c r="N62" s="48" t="s">
        <v>56</v>
      </c>
      <c r="O62" s="48" t="s">
        <v>44</v>
      </c>
      <c r="P62" s="43"/>
      <c r="Q62" s="43"/>
      <c r="R62" s="43"/>
      <c r="S62" s="43"/>
      <c r="T62" s="43"/>
      <c r="U62" s="43"/>
      <c r="V62" s="43"/>
      <c r="W62" s="43"/>
      <c r="X62" s="43"/>
      <c r="Y62" s="43"/>
      <c r="Z62" s="43"/>
    </row>
    <row r="63" ht="14.25" customHeight="1">
      <c r="A63" s="46">
        <v>20200.0</v>
      </c>
      <c r="B63" s="44">
        <v>45718.0</v>
      </c>
      <c r="C63" s="46" t="s">
        <v>82</v>
      </c>
      <c r="D63" s="46" t="s">
        <v>52</v>
      </c>
      <c r="E63" s="46" t="s">
        <v>77</v>
      </c>
      <c r="F63" s="46" t="s">
        <v>105</v>
      </c>
      <c r="G63" s="46">
        <v>10.0</v>
      </c>
      <c r="H63" s="47">
        <v>4149.0</v>
      </c>
      <c r="I63" s="47">
        <v>41490.0</v>
      </c>
      <c r="J63" s="46">
        <v>20.0</v>
      </c>
      <c r="K63" s="47">
        <v>8298.0</v>
      </c>
      <c r="L63" s="47">
        <v>33192.0</v>
      </c>
      <c r="M63" s="46" t="s">
        <v>96</v>
      </c>
      <c r="N63" s="46" t="s">
        <v>43</v>
      </c>
      <c r="O63" s="46" t="s">
        <v>44</v>
      </c>
      <c r="P63" s="43"/>
      <c r="Q63" s="43"/>
      <c r="R63" s="43"/>
      <c r="S63" s="43"/>
      <c r="T63" s="43"/>
      <c r="U63" s="43"/>
      <c r="V63" s="43"/>
      <c r="W63" s="43"/>
      <c r="X63" s="43"/>
      <c r="Y63" s="43"/>
      <c r="Z63" s="43"/>
    </row>
    <row r="64" ht="14.25" customHeight="1">
      <c r="A64" s="48">
        <v>20395.0</v>
      </c>
      <c r="B64" s="44">
        <v>45718.0</v>
      </c>
      <c r="C64" s="48" t="s">
        <v>63</v>
      </c>
      <c r="D64" s="48" t="s">
        <v>64</v>
      </c>
      <c r="E64" s="48" t="s">
        <v>59</v>
      </c>
      <c r="F64" s="48" t="s">
        <v>60</v>
      </c>
      <c r="G64" s="48">
        <v>2.0</v>
      </c>
      <c r="H64" s="49">
        <v>233.0</v>
      </c>
      <c r="I64" s="49">
        <v>466.0</v>
      </c>
      <c r="J64" s="48">
        <v>10.0</v>
      </c>
      <c r="K64" s="49">
        <v>47.0</v>
      </c>
      <c r="L64" s="49">
        <v>419.0</v>
      </c>
      <c r="M64" s="48" t="s">
        <v>81</v>
      </c>
      <c r="N64" s="48" t="s">
        <v>50</v>
      </c>
      <c r="O64" s="48" t="s">
        <v>44</v>
      </c>
      <c r="P64" s="43"/>
      <c r="Q64" s="43"/>
      <c r="R64" s="43"/>
      <c r="S64" s="43"/>
      <c r="T64" s="43"/>
      <c r="U64" s="43"/>
      <c r="V64" s="43"/>
      <c r="W64" s="43"/>
      <c r="X64" s="43"/>
      <c r="Y64" s="43"/>
      <c r="Z64" s="43"/>
    </row>
    <row r="65" ht="14.25" customHeight="1">
      <c r="A65" s="46">
        <v>20144.0</v>
      </c>
      <c r="B65" s="44">
        <v>45721.0</v>
      </c>
      <c r="C65" s="46" t="s">
        <v>45</v>
      </c>
      <c r="D65" s="46" t="s">
        <v>46</v>
      </c>
      <c r="E65" s="46" t="s">
        <v>59</v>
      </c>
      <c r="F65" s="46" t="s">
        <v>86</v>
      </c>
      <c r="G65" s="46">
        <v>12.0</v>
      </c>
      <c r="H65" s="47">
        <v>233.0</v>
      </c>
      <c r="I65" s="47">
        <v>2796.0</v>
      </c>
      <c r="J65" s="46">
        <v>5.0</v>
      </c>
      <c r="K65" s="47">
        <v>140.0</v>
      </c>
      <c r="L65" s="47">
        <v>2656.0</v>
      </c>
      <c r="M65" s="46" t="s">
        <v>42</v>
      </c>
      <c r="N65" s="46" t="s">
        <v>72</v>
      </c>
      <c r="O65" s="46" t="s">
        <v>57</v>
      </c>
      <c r="P65" s="43"/>
      <c r="Q65" s="43"/>
      <c r="R65" s="43"/>
      <c r="S65" s="43"/>
      <c r="T65" s="43"/>
      <c r="U65" s="43"/>
      <c r="V65" s="43"/>
      <c r="W65" s="43"/>
      <c r="X65" s="43"/>
      <c r="Y65" s="43"/>
      <c r="Z65" s="43"/>
    </row>
    <row r="66" ht="14.25" customHeight="1">
      <c r="A66" s="46">
        <v>20248.0</v>
      </c>
      <c r="B66" s="44">
        <v>45721.0</v>
      </c>
      <c r="C66" s="46" t="s">
        <v>80</v>
      </c>
      <c r="D66" s="46" t="s">
        <v>64</v>
      </c>
      <c r="E66" s="46" t="s">
        <v>59</v>
      </c>
      <c r="F66" s="46" t="s">
        <v>86</v>
      </c>
      <c r="G66" s="46">
        <v>1.0</v>
      </c>
      <c r="H66" s="47">
        <v>127.0</v>
      </c>
      <c r="I66" s="47">
        <v>127.0</v>
      </c>
      <c r="J66" s="46">
        <v>0.0</v>
      </c>
      <c r="K66" s="47">
        <v>0.0</v>
      </c>
      <c r="L66" s="47">
        <v>127.0</v>
      </c>
      <c r="M66" s="46" t="s">
        <v>96</v>
      </c>
      <c r="N66" s="46" t="s">
        <v>62</v>
      </c>
      <c r="O66" s="46" t="s">
        <v>57</v>
      </c>
      <c r="P66" s="43"/>
      <c r="Q66" s="43"/>
      <c r="R66" s="43"/>
      <c r="S66" s="43"/>
      <c r="T66" s="43"/>
      <c r="U66" s="43"/>
      <c r="V66" s="43"/>
      <c r="W66" s="43"/>
      <c r="X66" s="43"/>
      <c r="Y66" s="43"/>
      <c r="Z66" s="43"/>
    </row>
    <row r="67" ht="14.25" customHeight="1">
      <c r="A67" s="48">
        <v>20369.0</v>
      </c>
      <c r="B67" s="44">
        <v>45721.0</v>
      </c>
      <c r="C67" s="48" t="s">
        <v>93</v>
      </c>
      <c r="D67" s="48" t="s">
        <v>25</v>
      </c>
      <c r="E67" s="48" t="s">
        <v>26</v>
      </c>
      <c r="F67" s="48" t="s">
        <v>70</v>
      </c>
      <c r="G67" s="48">
        <v>10.0</v>
      </c>
      <c r="H67" s="49">
        <v>523.0</v>
      </c>
      <c r="I67" s="49">
        <v>5230.0</v>
      </c>
      <c r="J67" s="48">
        <v>0.0</v>
      </c>
      <c r="K67" s="49">
        <v>0.0</v>
      </c>
      <c r="L67" s="49">
        <v>5230.0</v>
      </c>
      <c r="M67" s="48" t="s">
        <v>55</v>
      </c>
      <c r="N67" s="48" t="s">
        <v>50</v>
      </c>
      <c r="O67" s="48" t="s">
        <v>44</v>
      </c>
      <c r="P67" s="43"/>
      <c r="Q67" s="43"/>
      <c r="R67" s="43"/>
      <c r="S67" s="43"/>
      <c r="T67" s="43"/>
      <c r="U67" s="43"/>
      <c r="V67" s="43"/>
      <c r="W67" s="43"/>
      <c r="X67" s="43"/>
      <c r="Y67" s="43"/>
      <c r="Z67" s="43"/>
    </row>
    <row r="68" ht="14.25" customHeight="1">
      <c r="A68" s="46">
        <v>20166.0</v>
      </c>
      <c r="B68" s="44">
        <v>45723.0</v>
      </c>
      <c r="C68" s="46" t="s">
        <v>58</v>
      </c>
      <c r="D68" s="46" t="s">
        <v>25</v>
      </c>
      <c r="E68" s="46" t="s">
        <v>59</v>
      </c>
      <c r="F68" s="46" t="s">
        <v>85</v>
      </c>
      <c r="G68" s="46">
        <v>13.0</v>
      </c>
      <c r="H68" s="47">
        <v>446.0</v>
      </c>
      <c r="I68" s="47">
        <v>5798.0</v>
      </c>
      <c r="J68" s="46">
        <v>0.0</v>
      </c>
      <c r="K68" s="47">
        <v>0.0</v>
      </c>
      <c r="L68" s="47">
        <v>5798.0</v>
      </c>
      <c r="M68" s="46" t="s">
        <v>49</v>
      </c>
      <c r="N68" s="46" t="s">
        <v>56</v>
      </c>
      <c r="O68" s="46" t="s">
        <v>44</v>
      </c>
      <c r="P68" s="43"/>
      <c r="Q68" s="43"/>
      <c r="R68" s="43"/>
      <c r="S68" s="43"/>
      <c r="T68" s="43"/>
      <c r="U68" s="43"/>
      <c r="V68" s="43"/>
      <c r="W68" s="43"/>
      <c r="X68" s="43"/>
      <c r="Y68" s="43"/>
      <c r="Z68" s="43"/>
    </row>
    <row r="69" ht="14.25" customHeight="1">
      <c r="A69" s="48">
        <v>20349.0</v>
      </c>
      <c r="B69" s="44">
        <v>45723.0</v>
      </c>
      <c r="C69" s="48" t="s">
        <v>58</v>
      </c>
      <c r="D69" s="48" t="s">
        <v>25</v>
      </c>
      <c r="E69" s="48" t="s">
        <v>59</v>
      </c>
      <c r="F69" s="48" t="s">
        <v>83</v>
      </c>
      <c r="G69" s="48">
        <v>10.0</v>
      </c>
      <c r="H69" s="49">
        <v>274.0</v>
      </c>
      <c r="I69" s="49">
        <v>2740.0</v>
      </c>
      <c r="J69" s="48">
        <v>0.0</v>
      </c>
      <c r="K69" s="49">
        <v>0.0</v>
      </c>
      <c r="L69" s="49">
        <v>2740.0</v>
      </c>
      <c r="M69" s="48" t="s">
        <v>61</v>
      </c>
      <c r="N69" s="48" t="s">
        <v>72</v>
      </c>
      <c r="O69" s="48" t="s">
        <v>44</v>
      </c>
      <c r="P69" s="43"/>
      <c r="Q69" s="43"/>
      <c r="R69" s="43"/>
      <c r="S69" s="43"/>
      <c r="T69" s="43"/>
      <c r="U69" s="43"/>
      <c r="V69" s="43"/>
      <c r="W69" s="43"/>
      <c r="X69" s="43"/>
      <c r="Y69" s="43"/>
      <c r="Z69" s="43"/>
    </row>
    <row r="70" ht="14.25" customHeight="1">
      <c r="A70" s="48">
        <v>20155.0</v>
      </c>
      <c r="B70" s="44">
        <v>45724.0</v>
      </c>
      <c r="C70" s="48" t="s">
        <v>24</v>
      </c>
      <c r="D70" s="48" t="s">
        <v>52</v>
      </c>
      <c r="E70" s="48" t="s">
        <v>47</v>
      </c>
      <c r="F70" s="48" t="s">
        <v>91</v>
      </c>
      <c r="G70" s="48">
        <v>14.0</v>
      </c>
      <c r="H70" s="49">
        <v>873.0</v>
      </c>
      <c r="I70" s="49">
        <v>12222.0</v>
      </c>
      <c r="J70" s="48">
        <v>0.0</v>
      </c>
      <c r="K70" s="49">
        <v>0.0</v>
      </c>
      <c r="L70" s="49">
        <v>12222.0</v>
      </c>
      <c r="M70" s="48" t="s">
        <v>55</v>
      </c>
      <c r="N70" s="48" t="s">
        <v>50</v>
      </c>
      <c r="O70" s="48" t="s">
        <v>44</v>
      </c>
      <c r="P70" s="43"/>
      <c r="Q70" s="43"/>
      <c r="R70" s="43"/>
      <c r="S70" s="43"/>
      <c r="T70" s="43"/>
      <c r="U70" s="43"/>
      <c r="V70" s="43"/>
      <c r="W70" s="43"/>
      <c r="X70" s="43"/>
      <c r="Y70" s="43"/>
      <c r="Z70" s="43"/>
    </row>
    <row r="71" ht="14.25" customHeight="1">
      <c r="A71" s="48">
        <v>20277.0</v>
      </c>
      <c r="B71" s="44">
        <v>45724.0</v>
      </c>
      <c r="C71" s="48" t="s">
        <v>99</v>
      </c>
      <c r="D71" s="48" t="s">
        <v>64</v>
      </c>
      <c r="E71" s="48" t="s">
        <v>59</v>
      </c>
      <c r="F71" s="48" t="s">
        <v>85</v>
      </c>
      <c r="G71" s="48">
        <v>11.0</v>
      </c>
      <c r="H71" s="49">
        <v>192.0</v>
      </c>
      <c r="I71" s="49">
        <v>2112.0</v>
      </c>
      <c r="J71" s="48">
        <v>0.0</v>
      </c>
      <c r="K71" s="49">
        <v>0.0</v>
      </c>
      <c r="L71" s="49">
        <v>2112.0</v>
      </c>
      <c r="M71" s="48" t="s">
        <v>71</v>
      </c>
      <c r="N71" s="48" t="s">
        <v>50</v>
      </c>
      <c r="O71" s="48" t="s">
        <v>57</v>
      </c>
      <c r="P71" s="43"/>
      <c r="Q71" s="43"/>
      <c r="R71" s="43"/>
      <c r="S71" s="43"/>
      <c r="T71" s="43"/>
      <c r="U71" s="43"/>
      <c r="V71" s="43"/>
      <c r="W71" s="43"/>
      <c r="X71" s="43"/>
      <c r="Y71" s="43"/>
      <c r="Z71" s="43"/>
    </row>
    <row r="72" ht="14.25" customHeight="1">
      <c r="A72" s="46">
        <v>20324.0</v>
      </c>
      <c r="B72" s="44">
        <v>45724.0</v>
      </c>
      <c r="C72" s="46" t="s">
        <v>24</v>
      </c>
      <c r="D72" s="46" t="s">
        <v>52</v>
      </c>
      <c r="E72" s="46" t="s">
        <v>59</v>
      </c>
      <c r="F72" s="46" t="s">
        <v>86</v>
      </c>
      <c r="G72" s="46">
        <v>7.0</v>
      </c>
      <c r="H72" s="47">
        <v>79.0</v>
      </c>
      <c r="I72" s="47">
        <v>553.0</v>
      </c>
      <c r="J72" s="46">
        <v>0.0</v>
      </c>
      <c r="K72" s="47">
        <v>0.0</v>
      </c>
      <c r="L72" s="47">
        <v>553.0</v>
      </c>
      <c r="M72" s="46" t="s">
        <v>55</v>
      </c>
      <c r="N72" s="46" t="s">
        <v>62</v>
      </c>
      <c r="O72" s="46" t="s">
        <v>44</v>
      </c>
      <c r="P72" s="43"/>
      <c r="Q72" s="43"/>
      <c r="R72" s="43"/>
      <c r="S72" s="43"/>
      <c r="T72" s="43"/>
      <c r="U72" s="43"/>
      <c r="V72" s="43"/>
      <c r="W72" s="43"/>
      <c r="X72" s="43"/>
      <c r="Y72" s="43"/>
      <c r="Z72" s="43"/>
    </row>
    <row r="73" ht="14.25" customHeight="1">
      <c r="A73" s="48">
        <v>20257.0</v>
      </c>
      <c r="B73" s="44">
        <v>45725.0</v>
      </c>
      <c r="C73" s="48" t="s">
        <v>51</v>
      </c>
      <c r="D73" s="48" t="s">
        <v>52</v>
      </c>
      <c r="E73" s="48" t="s">
        <v>47</v>
      </c>
      <c r="F73" s="48" t="s">
        <v>27</v>
      </c>
      <c r="G73" s="48">
        <v>6.0</v>
      </c>
      <c r="H73" s="49">
        <v>267.0</v>
      </c>
      <c r="I73" s="49">
        <v>1602.0</v>
      </c>
      <c r="J73" s="48">
        <v>10.0</v>
      </c>
      <c r="K73" s="49">
        <v>160.0</v>
      </c>
      <c r="L73" s="49">
        <v>1442.0</v>
      </c>
      <c r="M73" s="48" t="s">
        <v>71</v>
      </c>
      <c r="N73" s="48" t="s">
        <v>62</v>
      </c>
      <c r="O73" s="48" t="s">
        <v>44</v>
      </c>
      <c r="P73" s="43"/>
      <c r="Q73" s="43"/>
      <c r="R73" s="43"/>
      <c r="S73" s="43"/>
      <c r="T73" s="43"/>
      <c r="U73" s="43"/>
      <c r="V73" s="43"/>
      <c r="W73" s="43"/>
      <c r="X73" s="43"/>
      <c r="Y73" s="43"/>
      <c r="Z73" s="43"/>
    </row>
    <row r="74" ht="14.25" customHeight="1">
      <c r="A74" s="48">
        <v>20235.0</v>
      </c>
      <c r="B74" s="44">
        <v>45726.0</v>
      </c>
      <c r="C74" s="48" t="s">
        <v>84</v>
      </c>
      <c r="D74" s="48" t="s">
        <v>46</v>
      </c>
      <c r="E74" s="48" t="s">
        <v>26</v>
      </c>
      <c r="F74" s="48" t="s">
        <v>100</v>
      </c>
      <c r="G74" s="48">
        <v>5.0</v>
      </c>
      <c r="H74" s="49">
        <v>239.0</v>
      </c>
      <c r="I74" s="49">
        <v>1195.0</v>
      </c>
      <c r="J74" s="48">
        <v>10.0</v>
      </c>
      <c r="K74" s="49">
        <v>120.0</v>
      </c>
      <c r="L74" s="49">
        <v>1075.0</v>
      </c>
      <c r="M74" s="48" t="s">
        <v>61</v>
      </c>
      <c r="N74" s="48" t="s">
        <v>43</v>
      </c>
      <c r="O74" s="48" t="s">
        <v>57</v>
      </c>
      <c r="P74" s="43"/>
      <c r="Q74" s="43"/>
      <c r="R74" s="43"/>
      <c r="S74" s="43"/>
      <c r="T74" s="43"/>
      <c r="U74" s="43"/>
      <c r="V74" s="43"/>
      <c r="W74" s="43"/>
      <c r="X74" s="43"/>
      <c r="Y74" s="43"/>
      <c r="Z74" s="43"/>
    </row>
    <row r="75" ht="14.25" customHeight="1">
      <c r="A75" s="46">
        <v>20190.0</v>
      </c>
      <c r="B75" s="44">
        <v>45727.0</v>
      </c>
      <c r="C75" s="46" t="s">
        <v>24</v>
      </c>
      <c r="D75" s="46" t="s">
        <v>52</v>
      </c>
      <c r="E75" s="46" t="s">
        <v>53</v>
      </c>
      <c r="F75" s="46" t="s">
        <v>48</v>
      </c>
      <c r="G75" s="46">
        <v>8.0</v>
      </c>
      <c r="H75" s="47">
        <v>463.0</v>
      </c>
      <c r="I75" s="47">
        <v>3704.0</v>
      </c>
      <c r="J75" s="46">
        <v>0.0</v>
      </c>
      <c r="K75" s="47">
        <v>0.0</v>
      </c>
      <c r="L75" s="47">
        <v>3704.0</v>
      </c>
      <c r="M75" s="46" t="s">
        <v>55</v>
      </c>
      <c r="N75" s="46" t="s">
        <v>62</v>
      </c>
      <c r="O75" s="46" t="s">
        <v>69</v>
      </c>
      <c r="P75" s="43"/>
      <c r="Q75" s="43"/>
      <c r="R75" s="43"/>
      <c r="S75" s="43"/>
      <c r="T75" s="43"/>
      <c r="U75" s="43"/>
      <c r="V75" s="43"/>
      <c r="W75" s="43"/>
      <c r="X75" s="43"/>
      <c r="Y75" s="43"/>
      <c r="Z75" s="43"/>
    </row>
    <row r="76" ht="14.25" customHeight="1">
      <c r="A76" s="46">
        <v>20236.0</v>
      </c>
      <c r="B76" s="44">
        <v>45728.0</v>
      </c>
      <c r="C76" s="46" t="s">
        <v>51</v>
      </c>
      <c r="D76" s="46" t="s">
        <v>52</v>
      </c>
      <c r="E76" s="46" t="s">
        <v>59</v>
      </c>
      <c r="F76" s="46" t="s">
        <v>60</v>
      </c>
      <c r="G76" s="46">
        <v>8.0</v>
      </c>
      <c r="H76" s="47">
        <v>310.0</v>
      </c>
      <c r="I76" s="47">
        <v>2480.0</v>
      </c>
      <c r="J76" s="46">
        <v>0.0</v>
      </c>
      <c r="K76" s="47">
        <v>0.0</v>
      </c>
      <c r="L76" s="47">
        <v>2480.0</v>
      </c>
      <c r="M76" s="46" t="s">
        <v>68</v>
      </c>
      <c r="N76" s="46" t="s">
        <v>72</v>
      </c>
      <c r="O76" s="46" t="s">
        <v>44</v>
      </c>
      <c r="P76" s="43"/>
      <c r="Q76" s="43"/>
      <c r="R76" s="43"/>
      <c r="S76" s="43"/>
      <c r="T76" s="43"/>
      <c r="U76" s="43"/>
      <c r="V76" s="43"/>
      <c r="W76" s="43"/>
      <c r="X76" s="43"/>
      <c r="Y76" s="43"/>
      <c r="Z76" s="43"/>
    </row>
    <row r="77" ht="14.25" customHeight="1">
      <c r="A77" s="46">
        <v>20160.0</v>
      </c>
      <c r="B77" s="44">
        <v>45731.0</v>
      </c>
      <c r="C77" s="46" t="s">
        <v>84</v>
      </c>
      <c r="D77" s="46" t="s">
        <v>46</v>
      </c>
      <c r="E77" s="46" t="s">
        <v>53</v>
      </c>
      <c r="F77" s="46" t="s">
        <v>98</v>
      </c>
      <c r="G77" s="46">
        <v>14.0</v>
      </c>
      <c r="H77" s="47">
        <v>566.0</v>
      </c>
      <c r="I77" s="47">
        <v>7924.0</v>
      </c>
      <c r="J77" s="46">
        <v>10.0</v>
      </c>
      <c r="K77" s="47">
        <v>792.0</v>
      </c>
      <c r="L77" s="47">
        <v>7132.0</v>
      </c>
      <c r="M77" s="46" t="s">
        <v>87</v>
      </c>
      <c r="N77" s="46" t="s">
        <v>62</v>
      </c>
      <c r="O77" s="46" t="s">
        <v>44</v>
      </c>
      <c r="P77" s="43"/>
      <c r="Q77" s="43"/>
      <c r="R77" s="43"/>
      <c r="S77" s="43"/>
      <c r="T77" s="43"/>
      <c r="U77" s="43"/>
      <c r="V77" s="43"/>
      <c r="W77" s="43"/>
      <c r="X77" s="43"/>
      <c r="Y77" s="43"/>
      <c r="Z77" s="43"/>
    </row>
    <row r="78" ht="14.25" customHeight="1">
      <c r="A78" s="48">
        <v>20031.0</v>
      </c>
      <c r="B78" s="44">
        <v>45734.0</v>
      </c>
      <c r="C78" s="48" t="s">
        <v>93</v>
      </c>
      <c r="D78" s="48" t="s">
        <v>25</v>
      </c>
      <c r="E78" s="48" t="s">
        <v>53</v>
      </c>
      <c r="F78" s="48" t="s">
        <v>54</v>
      </c>
      <c r="G78" s="48">
        <v>9.0</v>
      </c>
      <c r="H78" s="49">
        <v>560.0</v>
      </c>
      <c r="I78" s="49">
        <v>5040.0</v>
      </c>
      <c r="J78" s="48">
        <v>0.0</v>
      </c>
      <c r="K78" s="49">
        <v>0.0</v>
      </c>
      <c r="L78" s="49">
        <v>5040.0</v>
      </c>
      <c r="M78" s="48" t="s">
        <v>81</v>
      </c>
      <c r="N78" s="48" t="s">
        <v>72</v>
      </c>
      <c r="O78" s="48" t="s">
        <v>69</v>
      </c>
      <c r="P78" s="43"/>
      <c r="Q78" s="43"/>
      <c r="R78" s="43"/>
      <c r="S78" s="43"/>
      <c r="T78" s="43"/>
      <c r="U78" s="43"/>
      <c r="V78" s="43"/>
      <c r="W78" s="43"/>
      <c r="X78" s="43"/>
      <c r="Y78" s="43"/>
      <c r="Z78" s="43"/>
    </row>
    <row r="79" ht="14.25" customHeight="1">
      <c r="A79" s="48">
        <v>20377.0</v>
      </c>
      <c r="B79" s="44">
        <v>45734.0</v>
      </c>
      <c r="C79" s="48" t="s">
        <v>45</v>
      </c>
      <c r="D79" s="48" t="s">
        <v>46</v>
      </c>
      <c r="E79" s="48" t="s">
        <v>59</v>
      </c>
      <c r="F79" s="48" t="s">
        <v>60</v>
      </c>
      <c r="G79" s="48">
        <v>15.0</v>
      </c>
      <c r="H79" s="49">
        <v>316.0</v>
      </c>
      <c r="I79" s="49">
        <v>4740.0</v>
      </c>
      <c r="J79" s="48">
        <v>0.0</v>
      </c>
      <c r="K79" s="49">
        <v>0.0</v>
      </c>
      <c r="L79" s="49">
        <v>4740.0</v>
      </c>
      <c r="M79" s="48" t="s">
        <v>61</v>
      </c>
      <c r="N79" s="48" t="s">
        <v>72</v>
      </c>
      <c r="O79" s="48" t="s">
        <v>57</v>
      </c>
      <c r="P79" s="43"/>
      <c r="Q79" s="43"/>
      <c r="R79" s="43"/>
      <c r="S79" s="43"/>
      <c r="T79" s="43"/>
      <c r="U79" s="43"/>
      <c r="V79" s="43"/>
      <c r="W79" s="43"/>
      <c r="X79" s="43"/>
      <c r="Y79" s="43"/>
      <c r="Z79" s="43"/>
    </row>
    <row r="80" ht="14.25" customHeight="1">
      <c r="A80" s="48">
        <v>20413.0</v>
      </c>
      <c r="B80" s="44">
        <v>45734.0</v>
      </c>
      <c r="C80" s="48" t="s">
        <v>82</v>
      </c>
      <c r="D80" s="48" t="s">
        <v>52</v>
      </c>
      <c r="E80" s="48" t="s">
        <v>26</v>
      </c>
      <c r="F80" s="48" t="s">
        <v>100</v>
      </c>
      <c r="G80" s="48">
        <v>7.0</v>
      </c>
      <c r="H80" s="49">
        <v>631.0</v>
      </c>
      <c r="I80" s="49">
        <v>4417.0</v>
      </c>
      <c r="J80" s="48">
        <v>15.0</v>
      </c>
      <c r="K80" s="49">
        <v>663.0</v>
      </c>
      <c r="L80" s="49">
        <v>3754.0</v>
      </c>
      <c r="M80" s="48" t="s">
        <v>55</v>
      </c>
      <c r="N80" s="48" t="s">
        <v>43</v>
      </c>
      <c r="O80" s="48" t="s">
        <v>44</v>
      </c>
      <c r="P80" s="43"/>
      <c r="Q80" s="43"/>
      <c r="R80" s="43"/>
      <c r="S80" s="43"/>
      <c r="T80" s="43"/>
      <c r="U80" s="43"/>
      <c r="V80" s="43"/>
      <c r="W80" s="43"/>
      <c r="X80" s="43"/>
      <c r="Y80" s="43"/>
      <c r="Z80" s="43"/>
    </row>
    <row r="81" ht="14.25" customHeight="1">
      <c r="A81" s="48">
        <v>20057.0</v>
      </c>
      <c r="B81" s="44">
        <v>45736.0</v>
      </c>
      <c r="C81" s="48" t="s">
        <v>24</v>
      </c>
      <c r="D81" s="48" t="s">
        <v>52</v>
      </c>
      <c r="E81" s="48" t="s">
        <v>77</v>
      </c>
      <c r="F81" s="48" t="s">
        <v>105</v>
      </c>
      <c r="G81" s="48">
        <v>9.0</v>
      </c>
      <c r="H81" s="49">
        <v>5945.0</v>
      </c>
      <c r="I81" s="49">
        <v>53505.0</v>
      </c>
      <c r="J81" s="48">
        <v>5.0</v>
      </c>
      <c r="K81" s="49">
        <v>2675.0</v>
      </c>
      <c r="L81" s="49">
        <v>50830.0</v>
      </c>
      <c r="M81" s="48" t="s">
        <v>49</v>
      </c>
      <c r="N81" s="48" t="s">
        <v>72</v>
      </c>
      <c r="O81" s="48" t="s">
        <v>44</v>
      </c>
      <c r="P81" s="43"/>
      <c r="Q81" s="43"/>
      <c r="R81" s="43"/>
      <c r="S81" s="43"/>
      <c r="T81" s="43"/>
      <c r="U81" s="43"/>
      <c r="V81" s="43"/>
      <c r="W81" s="43"/>
      <c r="X81" s="43"/>
      <c r="Y81" s="43"/>
      <c r="Z81" s="43"/>
    </row>
    <row r="82" ht="14.25" customHeight="1">
      <c r="A82" s="46">
        <v>20330.0</v>
      </c>
      <c r="B82" s="44">
        <v>45736.0</v>
      </c>
      <c r="C82" s="46" t="s">
        <v>99</v>
      </c>
      <c r="D82" s="46" t="s">
        <v>64</v>
      </c>
      <c r="E82" s="46" t="s">
        <v>26</v>
      </c>
      <c r="F82" s="46" t="s">
        <v>74</v>
      </c>
      <c r="G82" s="46">
        <v>7.0</v>
      </c>
      <c r="H82" s="47">
        <v>223.0</v>
      </c>
      <c r="I82" s="47">
        <v>1561.0</v>
      </c>
      <c r="J82" s="46">
        <v>5.0</v>
      </c>
      <c r="K82" s="47">
        <v>78.0</v>
      </c>
      <c r="L82" s="47">
        <v>1483.0</v>
      </c>
      <c r="M82" s="46" t="s">
        <v>71</v>
      </c>
      <c r="N82" s="46" t="s">
        <v>56</v>
      </c>
      <c r="O82" s="46" t="s">
        <v>57</v>
      </c>
      <c r="P82" s="43"/>
      <c r="Q82" s="43"/>
      <c r="R82" s="43"/>
      <c r="S82" s="43"/>
      <c r="T82" s="43"/>
      <c r="U82" s="43"/>
      <c r="V82" s="43"/>
      <c r="W82" s="43"/>
      <c r="X82" s="43"/>
      <c r="Y82" s="43"/>
      <c r="Z82" s="43"/>
    </row>
    <row r="83" ht="14.25" customHeight="1">
      <c r="A83" s="46">
        <v>20152.0</v>
      </c>
      <c r="B83" s="44">
        <v>45738.0</v>
      </c>
      <c r="C83" s="46" t="s">
        <v>80</v>
      </c>
      <c r="D83" s="46" t="s">
        <v>64</v>
      </c>
      <c r="E83" s="46" t="s">
        <v>53</v>
      </c>
      <c r="F83" s="46" t="s">
        <v>54</v>
      </c>
      <c r="G83" s="46">
        <v>4.0</v>
      </c>
      <c r="H83" s="47">
        <v>583.0</v>
      </c>
      <c r="I83" s="47">
        <v>2332.0</v>
      </c>
      <c r="J83" s="46">
        <v>0.0</v>
      </c>
      <c r="K83" s="47">
        <v>0.0</v>
      </c>
      <c r="L83" s="47">
        <v>2332.0</v>
      </c>
      <c r="M83" s="46" t="s">
        <v>55</v>
      </c>
      <c r="N83" s="46" t="s">
        <v>56</v>
      </c>
      <c r="O83" s="46" t="s">
        <v>57</v>
      </c>
      <c r="P83" s="43"/>
      <c r="Q83" s="43"/>
      <c r="R83" s="43"/>
      <c r="S83" s="43"/>
      <c r="T83" s="43"/>
      <c r="U83" s="43"/>
      <c r="V83" s="43"/>
      <c r="W83" s="43"/>
      <c r="X83" s="43"/>
      <c r="Y83" s="43"/>
      <c r="Z83" s="43"/>
    </row>
    <row r="84" ht="14.25" customHeight="1">
      <c r="A84" s="46">
        <v>20264.0</v>
      </c>
      <c r="B84" s="44">
        <v>45738.0</v>
      </c>
      <c r="C84" s="46" t="s">
        <v>66</v>
      </c>
      <c r="D84" s="46" t="s">
        <v>46</v>
      </c>
      <c r="E84" s="46" t="s">
        <v>26</v>
      </c>
      <c r="F84" s="46" t="s">
        <v>70</v>
      </c>
      <c r="G84" s="46">
        <v>11.0</v>
      </c>
      <c r="H84" s="47">
        <v>238.0</v>
      </c>
      <c r="I84" s="47">
        <v>2618.0</v>
      </c>
      <c r="J84" s="46">
        <v>0.0</v>
      </c>
      <c r="K84" s="47">
        <v>0.0</v>
      </c>
      <c r="L84" s="47">
        <v>2618.0</v>
      </c>
      <c r="M84" s="46" t="s">
        <v>81</v>
      </c>
      <c r="N84" s="46" t="s">
        <v>50</v>
      </c>
      <c r="O84" s="46" t="s">
        <v>69</v>
      </c>
      <c r="P84" s="43"/>
      <c r="Q84" s="43"/>
      <c r="R84" s="43"/>
      <c r="S84" s="43"/>
      <c r="T84" s="43"/>
      <c r="U84" s="43"/>
      <c r="V84" s="43"/>
      <c r="W84" s="43"/>
      <c r="X84" s="43"/>
      <c r="Y84" s="43"/>
      <c r="Z84" s="43"/>
    </row>
    <row r="85" ht="14.25" customHeight="1">
      <c r="A85" s="46">
        <v>20162.0</v>
      </c>
      <c r="B85" s="44">
        <v>45739.0</v>
      </c>
      <c r="C85" s="46" t="s">
        <v>84</v>
      </c>
      <c r="D85" s="46" t="s">
        <v>46</v>
      </c>
      <c r="E85" s="46" t="s">
        <v>47</v>
      </c>
      <c r="F85" s="46" t="s">
        <v>67</v>
      </c>
      <c r="G85" s="46">
        <v>4.0</v>
      </c>
      <c r="H85" s="47">
        <v>2241.0</v>
      </c>
      <c r="I85" s="47">
        <v>8964.0</v>
      </c>
      <c r="J85" s="46">
        <v>0.0</v>
      </c>
      <c r="K85" s="47">
        <v>0.0</v>
      </c>
      <c r="L85" s="47">
        <v>8964.0</v>
      </c>
      <c r="M85" s="46" t="s">
        <v>42</v>
      </c>
      <c r="N85" s="46" t="s">
        <v>62</v>
      </c>
      <c r="O85" s="46" t="s">
        <v>69</v>
      </c>
      <c r="P85" s="43"/>
      <c r="Q85" s="43"/>
      <c r="R85" s="43"/>
      <c r="S85" s="43"/>
      <c r="T85" s="43"/>
      <c r="U85" s="43"/>
      <c r="V85" s="43"/>
      <c r="W85" s="43"/>
      <c r="X85" s="43"/>
      <c r="Y85" s="43"/>
      <c r="Z85" s="43"/>
    </row>
    <row r="86" ht="14.25" customHeight="1">
      <c r="A86" s="46">
        <v>20184.0</v>
      </c>
      <c r="B86" s="44">
        <v>45739.0</v>
      </c>
      <c r="C86" s="46" t="s">
        <v>51</v>
      </c>
      <c r="D86" s="46" t="s">
        <v>52</v>
      </c>
      <c r="E86" s="46" t="s">
        <v>47</v>
      </c>
      <c r="F86" s="46" t="s">
        <v>67</v>
      </c>
      <c r="G86" s="46">
        <v>12.0</v>
      </c>
      <c r="H86" s="47">
        <v>1103.0</v>
      </c>
      <c r="I86" s="47">
        <v>13236.0</v>
      </c>
      <c r="J86" s="46">
        <v>0.0</v>
      </c>
      <c r="K86" s="47">
        <v>0.0</v>
      </c>
      <c r="L86" s="47">
        <v>13236.0</v>
      </c>
      <c r="M86" s="46" t="s">
        <v>68</v>
      </c>
      <c r="N86" s="46" t="s">
        <v>43</v>
      </c>
      <c r="O86" s="46" t="s">
        <v>69</v>
      </c>
      <c r="P86" s="43"/>
      <c r="Q86" s="43"/>
      <c r="R86" s="43"/>
      <c r="S86" s="43"/>
      <c r="T86" s="43"/>
      <c r="U86" s="43"/>
      <c r="V86" s="43"/>
      <c r="W86" s="43"/>
      <c r="X86" s="43"/>
      <c r="Y86" s="43"/>
      <c r="Z86" s="43"/>
    </row>
    <row r="87" ht="14.25" customHeight="1">
      <c r="A87" s="48">
        <v>20309.0</v>
      </c>
      <c r="B87" s="44">
        <v>45739.0</v>
      </c>
      <c r="C87" s="48" t="s">
        <v>92</v>
      </c>
      <c r="D87" s="48" t="s">
        <v>25</v>
      </c>
      <c r="E87" s="48" t="s">
        <v>53</v>
      </c>
      <c r="F87" s="48" t="s">
        <v>98</v>
      </c>
      <c r="G87" s="48">
        <v>9.0</v>
      </c>
      <c r="H87" s="49">
        <v>1897.0</v>
      </c>
      <c r="I87" s="49">
        <v>17073.0</v>
      </c>
      <c r="J87" s="48">
        <v>0.0</v>
      </c>
      <c r="K87" s="49">
        <v>0.0</v>
      </c>
      <c r="L87" s="49">
        <v>17073.0</v>
      </c>
      <c r="M87" s="48" t="s">
        <v>106</v>
      </c>
      <c r="N87" s="48" t="s">
        <v>50</v>
      </c>
      <c r="O87" s="48" t="s">
        <v>69</v>
      </c>
      <c r="P87" s="43"/>
      <c r="Q87" s="43"/>
      <c r="R87" s="43"/>
      <c r="S87" s="43"/>
      <c r="T87" s="43"/>
      <c r="U87" s="43"/>
      <c r="V87" s="43"/>
      <c r="W87" s="43"/>
      <c r="X87" s="43"/>
      <c r="Y87" s="43"/>
      <c r="Z87" s="43"/>
    </row>
    <row r="88" ht="14.25" customHeight="1">
      <c r="A88" s="48">
        <v>20181.0</v>
      </c>
      <c r="B88" s="44">
        <v>45741.0</v>
      </c>
      <c r="C88" s="48" t="s">
        <v>73</v>
      </c>
      <c r="D88" s="48" t="s">
        <v>52</v>
      </c>
      <c r="E88" s="48" t="s">
        <v>53</v>
      </c>
      <c r="F88" s="48" t="s">
        <v>98</v>
      </c>
      <c r="G88" s="48">
        <v>3.0</v>
      </c>
      <c r="H88" s="49">
        <v>989.0</v>
      </c>
      <c r="I88" s="49">
        <v>2967.0</v>
      </c>
      <c r="J88" s="48">
        <v>0.0</v>
      </c>
      <c r="K88" s="49">
        <v>0.0</v>
      </c>
      <c r="L88" s="49">
        <v>2967.0</v>
      </c>
      <c r="M88" s="48" t="s">
        <v>49</v>
      </c>
      <c r="N88" s="48" t="s">
        <v>43</v>
      </c>
      <c r="O88" s="48" t="s">
        <v>44</v>
      </c>
      <c r="P88" s="43"/>
      <c r="Q88" s="43"/>
      <c r="R88" s="43"/>
      <c r="S88" s="43"/>
      <c r="T88" s="43"/>
      <c r="U88" s="43"/>
      <c r="V88" s="43"/>
      <c r="W88" s="43"/>
      <c r="X88" s="43"/>
      <c r="Y88" s="43"/>
      <c r="Z88" s="43"/>
    </row>
    <row r="89" ht="14.25" customHeight="1">
      <c r="A89" s="46">
        <v>20312.0</v>
      </c>
      <c r="B89" s="44">
        <v>45741.0</v>
      </c>
      <c r="C89" s="46" t="s">
        <v>66</v>
      </c>
      <c r="D89" s="46" t="s">
        <v>46</v>
      </c>
      <c r="E89" s="46" t="s">
        <v>26</v>
      </c>
      <c r="F89" s="46" t="s">
        <v>74</v>
      </c>
      <c r="G89" s="46">
        <v>1.0</v>
      </c>
      <c r="H89" s="47">
        <v>515.0</v>
      </c>
      <c r="I89" s="47">
        <v>515.0</v>
      </c>
      <c r="J89" s="46">
        <v>20.0</v>
      </c>
      <c r="K89" s="47">
        <v>103.0</v>
      </c>
      <c r="L89" s="47">
        <v>412.0</v>
      </c>
      <c r="M89" s="46" t="s">
        <v>106</v>
      </c>
      <c r="N89" s="46" t="s">
        <v>50</v>
      </c>
      <c r="O89" s="46" t="s">
        <v>57</v>
      </c>
      <c r="P89" s="43"/>
      <c r="Q89" s="43"/>
      <c r="R89" s="43"/>
      <c r="S89" s="43"/>
      <c r="T89" s="43"/>
      <c r="U89" s="43"/>
      <c r="V89" s="43"/>
      <c r="W89" s="43"/>
      <c r="X89" s="43"/>
      <c r="Y89" s="43"/>
      <c r="Z89" s="43"/>
    </row>
    <row r="90" ht="14.25" customHeight="1">
      <c r="A90" s="48">
        <v>20093.0</v>
      </c>
      <c r="B90" s="44">
        <v>45742.0</v>
      </c>
      <c r="C90" s="48" t="s">
        <v>66</v>
      </c>
      <c r="D90" s="48" t="s">
        <v>46</v>
      </c>
      <c r="E90" s="48" t="s">
        <v>59</v>
      </c>
      <c r="F90" s="48" t="s">
        <v>85</v>
      </c>
      <c r="G90" s="48">
        <v>12.0</v>
      </c>
      <c r="H90" s="49">
        <v>299.0</v>
      </c>
      <c r="I90" s="49">
        <v>3588.0</v>
      </c>
      <c r="J90" s="48">
        <v>0.0</v>
      </c>
      <c r="K90" s="49">
        <v>0.0</v>
      </c>
      <c r="L90" s="49">
        <v>3588.0</v>
      </c>
      <c r="M90" s="48" t="s">
        <v>106</v>
      </c>
      <c r="N90" s="48" t="s">
        <v>43</v>
      </c>
      <c r="O90" s="48" t="s">
        <v>57</v>
      </c>
      <c r="P90" s="43"/>
      <c r="Q90" s="43"/>
      <c r="R90" s="43"/>
      <c r="S90" s="43"/>
      <c r="T90" s="43"/>
      <c r="U90" s="43"/>
      <c r="V90" s="43"/>
      <c r="W90" s="43"/>
      <c r="X90" s="43"/>
      <c r="Y90" s="43"/>
      <c r="Z90" s="43"/>
    </row>
    <row r="91" ht="14.25" customHeight="1">
      <c r="A91" s="48">
        <v>20337.0</v>
      </c>
      <c r="B91" s="44">
        <v>45743.0</v>
      </c>
      <c r="C91" s="48" t="s">
        <v>58</v>
      </c>
      <c r="D91" s="48" t="s">
        <v>25</v>
      </c>
      <c r="E91" s="48" t="s">
        <v>77</v>
      </c>
      <c r="F91" s="48" t="s">
        <v>105</v>
      </c>
      <c r="G91" s="48">
        <v>12.0</v>
      </c>
      <c r="H91" s="49">
        <v>7816.0</v>
      </c>
      <c r="I91" s="49">
        <v>93792.0</v>
      </c>
      <c r="J91" s="48">
        <v>10.0</v>
      </c>
      <c r="K91" s="49">
        <v>9379.0</v>
      </c>
      <c r="L91" s="49">
        <v>84413.0</v>
      </c>
      <c r="M91" s="48" t="s">
        <v>42</v>
      </c>
      <c r="N91" s="48" t="s">
        <v>56</v>
      </c>
      <c r="O91" s="48" t="s">
        <v>57</v>
      </c>
      <c r="P91" s="43"/>
      <c r="Q91" s="43"/>
      <c r="R91" s="43"/>
      <c r="S91" s="43"/>
      <c r="T91" s="43"/>
      <c r="U91" s="43"/>
      <c r="V91" s="43"/>
      <c r="W91" s="43"/>
      <c r="X91" s="43"/>
      <c r="Y91" s="43"/>
      <c r="Z91" s="43"/>
    </row>
    <row r="92" ht="14.25" customHeight="1">
      <c r="A92" s="48">
        <v>20319.0</v>
      </c>
      <c r="B92" s="44">
        <v>45745.0</v>
      </c>
      <c r="C92" s="48" t="s">
        <v>80</v>
      </c>
      <c r="D92" s="48" t="s">
        <v>64</v>
      </c>
      <c r="E92" s="48" t="s">
        <v>53</v>
      </c>
      <c r="F92" s="48" t="s">
        <v>102</v>
      </c>
      <c r="G92" s="48">
        <v>8.0</v>
      </c>
      <c r="H92" s="49">
        <v>828.0</v>
      </c>
      <c r="I92" s="49">
        <v>6624.0</v>
      </c>
      <c r="J92" s="48">
        <v>20.0</v>
      </c>
      <c r="K92" s="49">
        <v>1325.0</v>
      </c>
      <c r="L92" s="49">
        <v>5299.0</v>
      </c>
      <c r="M92" s="48" t="s">
        <v>68</v>
      </c>
      <c r="N92" s="48" t="s">
        <v>72</v>
      </c>
      <c r="O92" s="48" t="s">
        <v>57</v>
      </c>
      <c r="P92" s="43"/>
      <c r="Q92" s="43"/>
      <c r="R92" s="43"/>
      <c r="S92" s="43"/>
      <c r="T92" s="43"/>
      <c r="U92" s="43"/>
      <c r="V92" s="43"/>
      <c r="W92" s="43"/>
      <c r="X92" s="43"/>
      <c r="Y92" s="43"/>
      <c r="Z92" s="43"/>
    </row>
    <row r="93" ht="14.25" customHeight="1">
      <c r="A93" s="48">
        <v>20357.0</v>
      </c>
      <c r="B93" s="44">
        <v>45746.0</v>
      </c>
      <c r="C93" s="48" t="s">
        <v>58</v>
      </c>
      <c r="D93" s="48" t="s">
        <v>25</v>
      </c>
      <c r="E93" s="48" t="s">
        <v>59</v>
      </c>
      <c r="F93" s="48" t="s">
        <v>79</v>
      </c>
      <c r="G93" s="48">
        <v>7.0</v>
      </c>
      <c r="H93" s="49">
        <v>126.0</v>
      </c>
      <c r="I93" s="49">
        <v>882.0</v>
      </c>
      <c r="J93" s="48">
        <v>10.0</v>
      </c>
      <c r="K93" s="49">
        <v>88.0</v>
      </c>
      <c r="L93" s="49">
        <v>794.0</v>
      </c>
      <c r="M93" s="48" t="s">
        <v>96</v>
      </c>
      <c r="N93" s="48" t="s">
        <v>62</v>
      </c>
      <c r="O93" s="48" t="s">
        <v>44</v>
      </c>
      <c r="P93" s="43"/>
      <c r="Q93" s="43"/>
      <c r="R93" s="43"/>
      <c r="S93" s="43"/>
      <c r="T93" s="43"/>
      <c r="U93" s="43"/>
      <c r="V93" s="43"/>
      <c r="W93" s="43"/>
      <c r="X93" s="43"/>
      <c r="Y93" s="43"/>
      <c r="Z93" s="43"/>
    </row>
    <row r="94" ht="14.25" customHeight="1">
      <c r="A94" s="48">
        <v>20073.0</v>
      </c>
      <c r="B94" s="44">
        <v>45747.0</v>
      </c>
      <c r="C94" s="48" t="s">
        <v>82</v>
      </c>
      <c r="D94" s="48" t="s">
        <v>52</v>
      </c>
      <c r="E94" s="48" t="s">
        <v>47</v>
      </c>
      <c r="F94" s="48" t="s">
        <v>27</v>
      </c>
      <c r="G94" s="48">
        <v>15.0</v>
      </c>
      <c r="H94" s="49">
        <v>2213.0</v>
      </c>
      <c r="I94" s="49">
        <v>33195.0</v>
      </c>
      <c r="J94" s="48">
        <v>0.0</v>
      </c>
      <c r="K94" s="49">
        <v>0.0</v>
      </c>
      <c r="L94" s="49">
        <v>33195.0</v>
      </c>
      <c r="M94" s="48" t="s">
        <v>42</v>
      </c>
      <c r="N94" s="48" t="s">
        <v>72</v>
      </c>
      <c r="O94" s="48" t="s">
        <v>44</v>
      </c>
      <c r="P94" s="43"/>
      <c r="Q94" s="43"/>
      <c r="R94" s="43"/>
      <c r="S94" s="43"/>
      <c r="T94" s="43"/>
      <c r="U94" s="43"/>
      <c r="V94" s="43"/>
      <c r="W94" s="43"/>
      <c r="X94" s="43"/>
      <c r="Y94" s="43"/>
      <c r="Z94" s="43"/>
    </row>
    <row r="95" ht="14.25" customHeight="1">
      <c r="A95" s="48">
        <v>20087.0</v>
      </c>
      <c r="B95" s="44">
        <v>45747.0</v>
      </c>
      <c r="C95" s="48" t="s">
        <v>92</v>
      </c>
      <c r="D95" s="48" t="s">
        <v>25</v>
      </c>
      <c r="E95" s="48" t="s">
        <v>47</v>
      </c>
      <c r="F95" s="48" t="s">
        <v>27</v>
      </c>
      <c r="G95" s="48">
        <v>10.0</v>
      </c>
      <c r="H95" s="49">
        <v>1150.0</v>
      </c>
      <c r="I95" s="49">
        <v>11500.0</v>
      </c>
      <c r="J95" s="48">
        <v>5.0</v>
      </c>
      <c r="K95" s="49">
        <v>575.0</v>
      </c>
      <c r="L95" s="49">
        <v>10925.0</v>
      </c>
      <c r="M95" s="48" t="s">
        <v>96</v>
      </c>
      <c r="N95" s="48" t="s">
        <v>43</v>
      </c>
      <c r="O95" s="48" t="s">
        <v>44</v>
      </c>
      <c r="P95" s="43"/>
      <c r="Q95" s="43"/>
      <c r="R95" s="43"/>
      <c r="S95" s="43"/>
      <c r="T95" s="43"/>
      <c r="U95" s="43"/>
      <c r="V95" s="43"/>
      <c r="W95" s="43"/>
      <c r="X95" s="43"/>
      <c r="Y95" s="43"/>
      <c r="Z95" s="43"/>
    </row>
    <row r="96" ht="14.25" customHeight="1">
      <c r="A96" s="48">
        <v>20389.0</v>
      </c>
      <c r="B96" s="44">
        <v>45748.0</v>
      </c>
      <c r="C96" s="48" t="s">
        <v>82</v>
      </c>
      <c r="D96" s="48" t="s">
        <v>52</v>
      </c>
      <c r="E96" s="48" t="s">
        <v>47</v>
      </c>
      <c r="F96" s="48" t="s">
        <v>103</v>
      </c>
      <c r="G96" s="48">
        <v>1.0</v>
      </c>
      <c r="H96" s="49">
        <v>2174.0</v>
      </c>
      <c r="I96" s="49">
        <v>2174.0</v>
      </c>
      <c r="J96" s="48">
        <v>15.0</v>
      </c>
      <c r="K96" s="49">
        <v>326.0</v>
      </c>
      <c r="L96" s="49">
        <v>1848.0</v>
      </c>
      <c r="M96" s="48" t="s">
        <v>68</v>
      </c>
      <c r="N96" s="48" t="s">
        <v>56</v>
      </c>
      <c r="O96" s="48" t="s">
        <v>57</v>
      </c>
      <c r="P96" s="43"/>
      <c r="Q96" s="43"/>
      <c r="R96" s="43"/>
      <c r="S96" s="43"/>
      <c r="T96" s="43"/>
      <c r="U96" s="43"/>
      <c r="V96" s="43"/>
      <c r="W96" s="43"/>
      <c r="X96" s="43"/>
      <c r="Y96" s="43"/>
      <c r="Z96" s="43"/>
    </row>
    <row r="97" ht="14.25" customHeight="1">
      <c r="A97" s="48">
        <v>20365.0</v>
      </c>
      <c r="B97" s="44">
        <v>45749.0</v>
      </c>
      <c r="C97" s="48" t="s">
        <v>66</v>
      </c>
      <c r="D97" s="48" t="s">
        <v>46</v>
      </c>
      <c r="E97" s="48" t="s">
        <v>47</v>
      </c>
      <c r="F97" s="48" t="s">
        <v>91</v>
      </c>
      <c r="G97" s="48">
        <v>10.0</v>
      </c>
      <c r="H97" s="49">
        <v>1788.0</v>
      </c>
      <c r="I97" s="49">
        <v>17880.0</v>
      </c>
      <c r="J97" s="48">
        <v>5.0</v>
      </c>
      <c r="K97" s="49">
        <v>894.0</v>
      </c>
      <c r="L97" s="49">
        <v>16986.0</v>
      </c>
      <c r="M97" s="48" t="s">
        <v>61</v>
      </c>
      <c r="N97" s="48" t="s">
        <v>43</v>
      </c>
      <c r="O97" s="48" t="s">
        <v>44</v>
      </c>
      <c r="P97" s="43"/>
      <c r="Q97" s="43"/>
      <c r="R97" s="43"/>
      <c r="S97" s="43"/>
      <c r="T97" s="43"/>
      <c r="U97" s="43"/>
      <c r="V97" s="43"/>
      <c r="W97" s="43"/>
      <c r="X97" s="43"/>
      <c r="Y97" s="43"/>
      <c r="Z97" s="43"/>
    </row>
    <row r="98" ht="14.25" customHeight="1">
      <c r="A98" s="48">
        <v>20111.0</v>
      </c>
      <c r="B98" s="44">
        <v>45750.0</v>
      </c>
      <c r="C98" s="48" t="s">
        <v>66</v>
      </c>
      <c r="D98" s="48" t="s">
        <v>46</v>
      </c>
      <c r="E98" s="48" t="s">
        <v>53</v>
      </c>
      <c r="F98" s="48" t="s">
        <v>95</v>
      </c>
      <c r="G98" s="48">
        <v>6.0</v>
      </c>
      <c r="H98" s="49">
        <v>592.0</v>
      </c>
      <c r="I98" s="49">
        <v>3552.0</v>
      </c>
      <c r="J98" s="48">
        <v>0.0</v>
      </c>
      <c r="K98" s="49">
        <v>0.0</v>
      </c>
      <c r="L98" s="49">
        <v>3552.0</v>
      </c>
      <c r="M98" s="48" t="s">
        <v>68</v>
      </c>
      <c r="N98" s="48" t="s">
        <v>62</v>
      </c>
      <c r="O98" s="48" t="s">
        <v>69</v>
      </c>
      <c r="P98" s="43"/>
      <c r="Q98" s="43"/>
      <c r="R98" s="43"/>
      <c r="S98" s="43"/>
      <c r="T98" s="43"/>
      <c r="U98" s="43"/>
      <c r="V98" s="43"/>
      <c r="W98" s="43"/>
      <c r="X98" s="43"/>
      <c r="Y98" s="43"/>
      <c r="Z98" s="43"/>
    </row>
    <row r="99" ht="14.25" customHeight="1">
      <c r="A99" s="46">
        <v>20412.0</v>
      </c>
      <c r="B99" s="44">
        <v>45750.0</v>
      </c>
      <c r="C99" s="46" t="s">
        <v>76</v>
      </c>
      <c r="D99" s="46" t="s">
        <v>64</v>
      </c>
      <c r="E99" s="46" t="s">
        <v>47</v>
      </c>
      <c r="F99" s="46" t="s">
        <v>65</v>
      </c>
      <c r="G99" s="46">
        <v>14.0</v>
      </c>
      <c r="H99" s="47">
        <v>2473.0</v>
      </c>
      <c r="I99" s="47">
        <v>34622.0</v>
      </c>
      <c r="J99" s="46">
        <v>5.0</v>
      </c>
      <c r="K99" s="47">
        <v>1731.0</v>
      </c>
      <c r="L99" s="47">
        <v>32891.0</v>
      </c>
      <c r="M99" s="46" t="s">
        <v>61</v>
      </c>
      <c r="N99" s="46" t="s">
        <v>50</v>
      </c>
      <c r="O99" s="46" t="s">
        <v>69</v>
      </c>
      <c r="P99" s="43"/>
      <c r="Q99" s="43"/>
      <c r="R99" s="43"/>
      <c r="S99" s="43"/>
      <c r="T99" s="43"/>
      <c r="U99" s="43"/>
      <c r="V99" s="43"/>
      <c r="W99" s="43"/>
      <c r="X99" s="43"/>
      <c r="Y99" s="43"/>
      <c r="Z99" s="43"/>
    </row>
    <row r="100" ht="14.25" customHeight="1">
      <c r="A100" s="48">
        <v>20059.0</v>
      </c>
      <c r="B100" s="44">
        <v>45751.0</v>
      </c>
      <c r="C100" s="48" t="s">
        <v>82</v>
      </c>
      <c r="D100" s="48" t="s">
        <v>52</v>
      </c>
      <c r="E100" s="48" t="s">
        <v>77</v>
      </c>
      <c r="F100" s="48" t="s">
        <v>101</v>
      </c>
      <c r="G100" s="48">
        <v>13.0</v>
      </c>
      <c r="H100" s="49">
        <v>3688.0</v>
      </c>
      <c r="I100" s="49">
        <v>47944.0</v>
      </c>
      <c r="J100" s="48">
        <v>10.0</v>
      </c>
      <c r="K100" s="49">
        <v>4794.0</v>
      </c>
      <c r="L100" s="49">
        <v>43150.0</v>
      </c>
      <c r="M100" s="48" t="s">
        <v>81</v>
      </c>
      <c r="N100" s="48" t="s">
        <v>56</v>
      </c>
      <c r="O100" s="48" t="s">
        <v>69</v>
      </c>
      <c r="P100" s="43"/>
      <c r="Q100" s="43"/>
      <c r="R100" s="43"/>
      <c r="S100" s="43"/>
      <c r="T100" s="43"/>
      <c r="U100" s="43"/>
      <c r="V100" s="43"/>
      <c r="W100" s="43"/>
      <c r="X100" s="43"/>
      <c r="Y100" s="43"/>
      <c r="Z100" s="43"/>
    </row>
    <row r="101" ht="14.25" customHeight="1">
      <c r="A101" s="46">
        <v>20142.0</v>
      </c>
      <c r="B101" s="44">
        <v>45751.0</v>
      </c>
      <c r="C101" s="46" t="s">
        <v>76</v>
      </c>
      <c r="D101" s="46" t="s">
        <v>64</v>
      </c>
      <c r="E101" s="46" t="s">
        <v>26</v>
      </c>
      <c r="F101" s="46" t="s">
        <v>94</v>
      </c>
      <c r="G101" s="46">
        <v>13.0</v>
      </c>
      <c r="H101" s="47">
        <v>588.0</v>
      </c>
      <c r="I101" s="47">
        <v>7644.0</v>
      </c>
      <c r="J101" s="46">
        <v>20.0</v>
      </c>
      <c r="K101" s="47">
        <v>1529.0</v>
      </c>
      <c r="L101" s="47">
        <v>6115.0</v>
      </c>
      <c r="M101" s="46" t="s">
        <v>106</v>
      </c>
      <c r="N101" s="46" t="s">
        <v>62</v>
      </c>
      <c r="O101" s="46" t="s">
        <v>44</v>
      </c>
      <c r="P101" s="43"/>
      <c r="Q101" s="43"/>
      <c r="R101" s="43"/>
      <c r="S101" s="43"/>
      <c r="T101" s="43"/>
      <c r="U101" s="43"/>
      <c r="V101" s="43"/>
      <c r="W101" s="43"/>
      <c r="X101" s="43"/>
      <c r="Y101" s="43"/>
      <c r="Z101" s="43"/>
    </row>
    <row r="102" ht="14.25" customHeight="1">
      <c r="A102" s="46">
        <v>20408.0</v>
      </c>
      <c r="B102" s="44">
        <v>45751.0</v>
      </c>
      <c r="C102" s="46" t="s">
        <v>66</v>
      </c>
      <c r="D102" s="46" t="s">
        <v>46</v>
      </c>
      <c r="E102" s="46" t="s">
        <v>59</v>
      </c>
      <c r="F102" s="46" t="s">
        <v>60</v>
      </c>
      <c r="G102" s="46">
        <v>13.0</v>
      </c>
      <c r="H102" s="47">
        <v>276.0</v>
      </c>
      <c r="I102" s="47">
        <v>3588.0</v>
      </c>
      <c r="J102" s="46">
        <v>10.0</v>
      </c>
      <c r="K102" s="47">
        <v>359.0</v>
      </c>
      <c r="L102" s="47">
        <v>3229.0</v>
      </c>
      <c r="M102" s="46" t="s">
        <v>81</v>
      </c>
      <c r="N102" s="46" t="s">
        <v>56</v>
      </c>
      <c r="O102" s="46" t="s">
        <v>44</v>
      </c>
      <c r="P102" s="43"/>
      <c r="Q102" s="43"/>
      <c r="R102" s="43"/>
      <c r="S102" s="43"/>
      <c r="T102" s="43"/>
      <c r="U102" s="43"/>
      <c r="V102" s="43"/>
      <c r="W102" s="43"/>
      <c r="X102" s="43"/>
      <c r="Y102" s="43"/>
      <c r="Z102" s="43"/>
    </row>
    <row r="103" ht="14.25" customHeight="1">
      <c r="A103" s="48">
        <v>20215.0</v>
      </c>
      <c r="B103" s="44">
        <v>45753.0</v>
      </c>
      <c r="C103" s="48" t="s">
        <v>51</v>
      </c>
      <c r="D103" s="48" t="s">
        <v>52</v>
      </c>
      <c r="E103" s="48" t="s">
        <v>26</v>
      </c>
      <c r="F103" s="48" t="s">
        <v>70</v>
      </c>
      <c r="G103" s="48">
        <v>5.0</v>
      </c>
      <c r="H103" s="49">
        <v>372.0</v>
      </c>
      <c r="I103" s="49">
        <v>1860.0</v>
      </c>
      <c r="J103" s="48">
        <v>0.0</v>
      </c>
      <c r="K103" s="49">
        <v>0.0</v>
      </c>
      <c r="L103" s="49">
        <v>1860.0</v>
      </c>
      <c r="M103" s="48" t="s">
        <v>61</v>
      </c>
      <c r="N103" s="48" t="s">
        <v>50</v>
      </c>
      <c r="O103" s="48" t="s">
        <v>57</v>
      </c>
      <c r="P103" s="43"/>
      <c r="Q103" s="43"/>
      <c r="R103" s="43"/>
      <c r="S103" s="43"/>
      <c r="T103" s="43"/>
      <c r="U103" s="43"/>
      <c r="V103" s="43"/>
      <c r="W103" s="43"/>
      <c r="X103" s="43"/>
      <c r="Y103" s="43"/>
      <c r="Z103" s="43"/>
    </row>
    <row r="104" ht="14.25" customHeight="1">
      <c r="A104" s="48">
        <v>20299.0</v>
      </c>
      <c r="B104" s="44">
        <v>45753.0</v>
      </c>
      <c r="C104" s="48" t="s">
        <v>73</v>
      </c>
      <c r="D104" s="48" t="s">
        <v>52</v>
      </c>
      <c r="E104" s="48" t="s">
        <v>26</v>
      </c>
      <c r="F104" s="48" t="s">
        <v>74</v>
      </c>
      <c r="G104" s="48">
        <v>8.0</v>
      </c>
      <c r="H104" s="49">
        <v>596.0</v>
      </c>
      <c r="I104" s="49">
        <v>4768.0</v>
      </c>
      <c r="J104" s="48">
        <v>0.0</v>
      </c>
      <c r="K104" s="49">
        <v>0.0</v>
      </c>
      <c r="L104" s="49">
        <v>4768.0</v>
      </c>
      <c r="M104" s="48" t="s">
        <v>71</v>
      </c>
      <c r="N104" s="48" t="s">
        <v>62</v>
      </c>
      <c r="O104" s="48" t="s">
        <v>57</v>
      </c>
      <c r="P104" s="43"/>
      <c r="Q104" s="43"/>
      <c r="R104" s="43"/>
      <c r="S104" s="43"/>
      <c r="T104" s="43"/>
      <c r="U104" s="43"/>
      <c r="V104" s="43"/>
      <c r="W104" s="43"/>
      <c r="X104" s="43"/>
      <c r="Y104" s="43"/>
      <c r="Z104" s="43"/>
    </row>
    <row r="105" ht="14.25" customHeight="1">
      <c r="A105" s="48">
        <v>20383.0</v>
      </c>
      <c r="B105" s="44">
        <v>45753.0</v>
      </c>
      <c r="C105" s="48" t="s">
        <v>80</v>
      </c>
      <c r="D105" s="48" t="s">
        <v>64</v>
      </c>
      <c r="E105" s="48" t="s">
        <v>53</v>
      </c>
      <c r="F105" s="48" t="s">
        <v>54</v>
      </c>
      <c r="G105" s="48">
        <v>12.0</v>
      </c>
      <c r="H105" s="49">
        <v>770.0</v>
      </c>
      <c r="I105" s="49">
        <v>9240.0</v>
      </c>
      <c r="J105" s="48">
        <v>15.0</v>
      </c>
      <c r="K105" s="49">
        <v>1386.0</v>
      </c>
      <c r="L105" s="49">
        <v>7854.0</v>
      </c>
      <c r="M105" s="48" t="s">
        <v>71</v>
      </c>
      <c r="N105" s="48" t="s">
        <v>43</v>
      </c>
      <c r="O105" s="48" t="s">
        <v>57</v>
      </c>
      <c r="P105" s="43"/>
      <c r="Q105" s="43"/>
      <c r="R105" s="43"/>
      <c r="S105" s="43"/>
      <c r="T105" s="43"/>
      <c r="U105" s="43"/>
      <c r="V105" s="43"/>
      <c r="W105" s="43"/>
      <c r="X105" s="43"/>
      <c r="Y105" s="43"/>
      <c r="Z105" s="43"/>
    </row>
    <row r="106" ht="14.25" customHeight="1">
      <c r="A106" s="48">
        <v>20347.0</v>
      </c>
      <c r="B106" s="44">
        <v>45754.0</v>
      </c>
      <c r="C106" s="48" t="s">
        <v>58</v>
      </c>
      <c r="D106" s="48" t="s">
        <v>25</v>
      </c>
      <c r="E106" s="48" t="s">
        <v>59</v>
      </c>
      <c r="F106" s="48" t="s">
        <v>60</v>
      </c>
      <c r="G106" s="48">
        <v>8.0</v>
      </c>
      <c r="H106" s="49">
        <v>115.0</v>
      </c>
      <c r="I106" s="49">
        <v>920.0</v>
      </c>
      <c r="J106" s="48">
        <v>0.0</v>
      </c>
      <c r="K106" s="49">
        <v>0.0</v>
      </c>
      <c r="L106" s="49">
        <v>920.0</v>
      </c>
      <c r="M106" s="48" t="s">
        <v>49</v>
      </c>
      <c r="N106" s="48" t="s">
        <v>62</v>
      </c>
      <c r="O106" s="48" t="s">
        <v>44</v>
      </c>
      <c r="P106" s="43"/>
      <c r="Q106" s="43"/>
      <c r="R106" s="43"/>
      <c r="S106" s="43"/>
      <c r="T106" s="43"/>
      <c r="U106" s="43"/>
      <c r="V106" s="43"/>
      <c r="W106" s="43"/>
      <c r="X106" s="43"/>
      <c r="Y106" s="43"/>
      <c r="Z106" s="43"/>
    </row>
    <row r="107" ht="14.25" customHeight="1">
      <c r="A107" s="46">
        <v>20392.0</v>
      </c>
      <c r="B107" s="44">
        <v>45754.0</v>
      </c>
      <c r="C107" s="46" t="s">
        <v>97</v>
      </c>
      <c r="D107" s="46" t="s">
        <v>25</v>
      </c>
      <c r="E107" s="46" t="s">
        <v>26</v>
      </c>
      <c r="F107" s="46" t="s">
        <v>70</v>
      </c>
      <c r="G107" s="46">
        <v>9.0</v>
      </c>
      <c r="H107" s="47">
        <v>240.0</v>
      </c>
      <c r="I107" s="47">
        <v>2160.0</v>
      </c>
      <c r="J107" s="46">
        <v>15.0</v>
      </c>
      <c r="K107" s="47">
        <v>324.0</v>
      </c>
      <c r="L107" s="47">
        <v>1836.0</v>
      </c>
      <c r="M107" s="46" t="s">
        <v>55</v>
      </c>
      <c r="N107" s="46" t="s">
        <v>43</v>
      </c>
      <c r="O107" s="46" t="s">
        <v>44</v>
      </c>
      <c r="P107" s="43"/>
      <c r="Q107" s="43"/>
      <c r="R107" s="43"/>
      <c r="S107" s="43"/>
      <c r="T107" s="43"/>
      <c r="U107" s="43"/>
      <c r="V107" s="43"/>
      <c r="W107" s="43"/>
      <c r="X107" s="43"/>
      <c r="Y107" s="43"/>
      <c r="Z107" s="43"/>
    </row>
    <row r="108" ht="14.25" customHeight="1">
      <c r="A108" s="46">
        <v>20020.0</v>
      </c>
      <c r="B108" s="44">
        <v>45755.0</v>
      </c>
      <c r="C108" s="46" t="s">
        <v>73</v>
      </c>
      <c r="D108" s="46" t="s">
        <v>52</v>
      </c>
      <c r="E108" s="46" t="s">
        <v>77</v>
      </c>
      <c r="F108" s="46" t="s">
        <v>110</v>
      </c>
      <c r="G108" s="46">
        <v>3.0</v>
      </c>
      <c r="H108" s="47">
        <v>4689.0</v>
      </c>
      <c r="I108" s="47">
        <v>14067.0</v>
      </c>
      <c r="J108" s="46">
        <v>20.0</v>
      </c>
      <c r="K108" s="47">
        <v>2813.0</v>
      </c>
      <c r="L108" s="47">
        <v>11254.0</v>
      </c>
      <c r="M108" s="46" t="s">
        <v>87</v>
      </c>
      <c r="N108" s="46" t="s">
        <v>62</v>
      </c>
      <c r="O108" s="46" t="s">
        <v>69</v>
      </c>
      <c r="P108" s="43"/>
      <c r="Q108" s="43"/>
      <c r="R108" s="43"/>
      <c r="S108" s="43"/>
      <c r="T108" s="43"/>
      <c r="U108" s="43"/>
      <c r="V108" s="43"/>
      <c r="W108" s="43"/>
      <c r="X108" s="43"/>
      <c r="Y108" s="43"/>
      <c r="Z108" s="43"/>
    </row>
    <row r="109" ht="14.25" customHeight="1">
      <c r="A109" s="46">
        <v>20120.0</v>
      </c>
      <c r="B109" s="44">
        <v>45757.0</v>
      </c>
      <c r="C109" s="46" t="s">
        <v>45</v>
      </c>
      <c r="D109" s="46" t="s">
        <v>46</v>
      </c>
      <c r="E109" s="46" t="s">
        <v>53</v>
      </c>
      <c r="F109" s="46" t="s">
        <v>98</v>
      </c>
      <c r="G109" s="46">
        <v>14.0</v>
      </c>
      <c r="H109" s="47">
        <v>509.0</v>
      </c>
      <c r="I109" s="47">
        <v>7126.0</v>
      </c>
      <c r="J109" s="46">
        <v>0.0</v>
      </c>
      <c r="K109" s="47">
        <v>0.0</v>
      </c>
      <c r="L109" s="47">
        <v>7126.0</v>
      </c>
      <c r="M109" s="46" t="s">
        <v>68</v>
      </c>
      <c r="N109" s="46" t="s">
        <v>56</v>
      </c>
      <c r="O109" s="46" t="s">
        <v>69</v>
      </c>
      <c r="P109" s="43"/>
      <c r="Q109" s="43"/>
      <c r="R109" s="43"/>
      <c r="S109" s="43"/>
      <c r="T109" s="43"/>
      <c r="U109" s="43"/>
      <c r="V109" s="43"/>
      <c r="W109" s="43"/>
      <c r="X109" s="43"/>
      <c r="Y109" s="43"/>
      <c r="Z109" s="43"/>
    </row>
    <row r="110" ht="14.25" customHeight="1">
      <c r="A110" s="48">
        <v>20013.0</v>
      </c>
      <c r="B110" s="44">
        <v>45759.0</v>
      </c>
      <c r="C110" s="48" t="s">
        <v>76</v>
      </c>
      <c r="D110" s="48" t="s">
        <v>64</v>
      </c>
      <c r="E110" s="48" t="s">
        <v>53</v>
      </c>
      <c r="F110" s="48" t="s">
        <v>75</v>
      </c>
      <c r="G110" s="48">
        <v>9.0</v>
      </c>
      <c r="H110" s="49">
        <v>962.0</v>
      </c>
      <c r="I110" s="49">
        <v>8658.0</v>
      </c>
      <c r="J110" s="48">
        <v>0.0</v>
      </c>
      <c r="K110" s="49">
        <v>0.0</v>
      </c>
      <c r="L110" s="49">
        <v>8658.0</v>
      </c>
      <c r="M110" s="48" t="s">
        <v>55</v>
      </c>
      <c r="N110" s="48" t="s">
        <v>72</v>
      </c>
      <c r="O110" s="48" t="s">
        <v>69</v>
      </c>
      <c r="P110" s="43"/>
      <c r="Q110" s="43"/>
      <c r="R110" s="43"/>
      <c r="S110" s="43"/>
      <c r="T110" s="43"/>
      <c r="U110" s="43"/>
      <c r="V110" s="43"/>
      <c r="W110" s="43"/>
      <c r="X110" s="43"/>
      <c r="Y110" s="43"/>
      <c r="Z110" s="43"/>
    </row>
    <row r="111" ht="14.25" customHeight="1">
      <c r="A111" s="46">
        <v>20034.0</v>
      </c>
      <c r="B111" s="44">
        <v>45760.0</v>
      </c>
      <c r="C111" s="46" t="s">
        <v>73</v>
      </c>
      <c r="D111" s="46" t="s">
        <v>52</v>
      </c>
      <c r="E111" s="46" t="s">
        <v>53</v>
      </c>
      <c r="F111" s="46" t="s">
        <v>95</v>
      </c>
      <c r="G111" s="46">
        <v>14.0</v>
      </c>
      <c r="H111" s="47">
        <v>347.0</v>
      </c>
      <c r="I111" s="47">
        <v>4858.0</v>
      </c>
      <c r="J111" s="46">
        <v>5.0</v>
      </c>
      <c r="K111" s="47">
        <v>243.0</v>
      </c>
      <c r="L111" s="47">
        <v>4615.0</v>
      </c>
      <c r="M111" s="46" t="s">
        <v>55</v>
      </c>
      <c r="N111" s="46" t="s">
        <v>72</v>
      </c>
      <c r="O111" s="46" t="s">
        <v>69</v>
      </c>
      <c r="P111" s="43"/>
      <c r="Q111" s="43"/>
      <c r="R111" s="43"/>
      <c r="S111" s="43"/>
      <c r="T111" s="43"/>
      <c r="U111" s="43"/>
      <c r="V111" s="43"/>
      <c r="W111" s="43"/>
      <c r="X111" s="43"/>
      <c r="Y111" s="43"/>
      <c r="Z111" s="43"/>
    </row>
    <row r="112" ht="14.25" customHeight="1">
      <c r="A112" s="46">
        <v>20222.0</v>
      </c>
      <c r="B112" s="44">
        <v>45760.0</v>
      </c>
      <c r="C112" s="46" t="s">
        <v>82</v>
      </c>
      <c r="D112" s="46" t="s">
        <v>52</v>
      </c>
      <c r="E112" s="46" t="s">
        <v>53</v>
      </c>
      <c r="F112" s="46" t="s">
        <v>75</v>
      </c>
      <c r="G112" s="46">
        <v>7.0</v>
      </c>
      <c r="H112" s="47">
        <v>1804.0</v>
      </c>
      <c r="I112" s="47">
        <v>12628.0</v>
      </c>
      <c r="J112" s="46">
        <v>10.0</v>
      </c>
      <c r="K112" s="47">
        <v>1263.0</v>
      </c>
      <c r="L112" s="47">
        <v>11365.0</v>
      </c>
      <c r="M112" s="46" t="s">
        <v>106</v>
      </c>
      <c r="N112" s="46" t="s">
        <v>72</v>
      </c>
      <c r="O112" s="46" t="s">
        <v>44</v>
      </c>
      <c r="P112" s="43"/>
      <c r="Q112" s="43"/>
      <c r="R112" s="43"/>
      <c r="S112" s="43"/>
      <c r="T112" s="43"/>
      <c r="U112" s="43"/>
      <c r="V112" s="43"/>
      <c r="W112" s="43"/>
      <c r="X112" s="43"/>
      <c r="Y112" s="43"/>
      <c r="Z112" s="43"/>
    </row>
    <row r="113" ht="14.25" customHeight="1">
      <c r="A113" s="48">
        <v>20313.0</v>
      </c>
      <c r="B113" s="44">
        <v>45763.0</v>
      </c>
      <c r="C113" s="48" t="s">
        <v>66</v>
      </c>
      <c r="D113" s="48" t="s">
        <v>46</v>
      </c>
      <c r="E113" s="48" t="s">
        <v>59</v>
      </c>
      <c r="F113" s="48" t="s">
        <v>83</v>
      </c>
      <c r="G113" s="48">
        <v>1.0</v>
      </c>
      <c r="H113" s="49">
        <v>391.0</v>
      </c>
      <c r="I113" s="49">
        <v>391.0</v>
      </c>
      <c r="J113" s="48">
        <v>10.0</v>
      </c>
      <c r="K113" s="49">
        <v>39.0</v>
      </c>
      <c r="L113" s="49">
        <v>352.0</v>
      </c>
      <c r="M113" s="48" t="s">
        <v>81</v>
      </c>
      <c r="N113" s="48" t="s">
        <v>50</v>
      </c>
      <c r="O113" s="48" t="s">
        <v>44</v>
      </c>
      <c r="P113" s="43"/>
      <c r="Q113" s="43"/>
      <c r="R113" s="43"/>
      <c r="S113" s="43"/>
      <c r="T113" s="43"/>
      <c r="U113" s="43"/>
      <c r="V113" s="43"/>
      <c r="W113" s="43"/>
      <c r="X113" s="43"/>
      <c r="Y113" s="43"/>
      <c r="Z113" s="43"/>
    </row>
    <row r="114" ht="14.25" customHeight="1">
      <c r="A114" s="46">
        <v>20174.0</v>
      </c>
      <c r="B114" s="44">
        <v>45764.0</v>
      </c>
      <c r="C114" s="46" t="s">
        <v>82</v>
      </c>
      <c r="D114" s="46" t="s">
        <v>52</v>
      </c>
      <c r="E114" s="46" t="s">
        <v>53</v>
      </c>
      <c r="F114" s="46" t="s">
        <v>48</v>
      </c>
      <c r="G114" s="46">
        <v>6.0</v>
      </c>
      <c r="H114" s="47">
        <v>548.0</v>
      </c>
      <c r="I114" s="47">
        <v>3288.0</v>
      </c>
      <c r="J114" s="46">
        <v>5.0</v>
      </c>
      <c r="K114" s="47">
        <v>164.0</v>
      </c>
      <c r="L114" s="47">
        <v>3124.0</v>
      </c>
      <c r="M114" s="46" t="s">
        <v>61</v>
      </c>
      <c r="N114" s="46" t="s">
        <v>72</v>
      </c>
      <c r="O114" s="46" t="s">
        <v>69</v>
      </c>
      <c r="P114" s="43"/>
      <c r="Q114" s="43"/>
      <c r="R114" s="43"/>
      <c r="S114" s="43"/>
      <c r="T114" s="43"/>
      <c r="U114" s="43"/>
      <c r="V114" s="43"/>
      <c r="W114" s="43"/>
      <c r="X114" s="43"/>
      <c r="Y114" s="43"/>
      <c r="Z114" s="43"/>
    </row>
    <row r="115" ht="14.25" customHeight="1">
      <c r="A115" s="48">
        <v>20351.0</v>
      </c>
      <c r="B115" s="44">
        <v>45765.0</v>
      </c>
      <c r="C115" s="48" t="s">
        <v>89</v>
      </c>
      <c r="D115" s="48" t="s">
        <v>46</v>
      </c>
      <c r="E115" s="48" t="s">
        <v>53</v>
      </c>
      <c r="F115" s="48" t="s">
        <v>98</v>
      </c>
      <c r="G115" s="48">
        <v>3.0</v>
      </c>
      <c r="H115" s="49">
        <v>1410.0</v>
      </c>
      <c r="I115" s="49">
        <v>4230.0</v>
      </c>
      <c r="J115" s="48">
        <v>15.0</v>
      </c>
      <c r="K115" s="49">
        <v>634.0</v>
      </c>
      <c r="L115" s="49">
        <v>3596.0</v>
      </c>
      <c r="M115" s="48" t="s">
        <v>71</v>
      </c>
      <c r="N115" s="48" t="s">
        <v>72</v>
      </c>
      <c r="O115" s="48" t="s">
        <v>57</v>
      </c>
      <c r="P115" s="43"/>
      <c r="Q115" s="43"/>
      <c r="R115" s="43"/>
      <c r="S115" s="43"/>
      <c r="T115" s="43"/>
      <c r="U115" s="43"/>
      <c r="V115" s="43"/>
      <c r="W115" s="43"/>
      <c r="X115" s="43"/>
      <c r="Y115" s="43"/>
      <c r="Z115" s="43"/>
    </row>
    <row r="116" ht="14.25" customHeight="1">
      <c r="A116" s="46">
        <v>20302.0</v>
      </c>
      <c r="B116" s="44">
        <v>45766.0</v>
      </c>
      <c r="C116" s="46" t="s">
        <v>99</v>
      </c>
      <c r="D116" s="46" t="s">
        <v>64</v>
      </c>
      <c r="E116" s="46" t="s">
        <v>77</v>
      </c>
      <c r="F116" s="46" t="s">
        <v>90</v>
      </c>
      <c r="G116" s="46">
        <v>7.0</v>
      </c>
      <c r="H116" s="47">
        <v>6496.0</v>
      </c>
      <c r="I116" s="47">
        <v>45472.0</v>
      </c>
      <c r="J116" s="46">
        <v>20.0</v>
      </c>
      <c r="K116" s="47">
        <v>9094.0</v>
      </c>
      <c r="L116" s="47">
        <v>36378.0</v>
      </c>
      <c r="M116" s="46" t="s">
        <v>49</v>
      </c>
      <c r="N116" s="46" t="s">
        <v>72</v>
      </c>
      <c r="O116" s="46" t="s">
        <v>44</v>
      </c>
      <c r="P116" s="43"/>
      <c r="Q116" s="43"/>
      <c r="R116" s="43"/>
      <c r="S116" s="43"/>
      <c r="T116" s="43"/>
      <c r="U116" s="43"/>
      <c r="V116" s="43"/>
      <c r="W116" s="43"/>
      <c r="X116" s="43"/>
      <c r="Y116" s="43"/>
      <c r="Z116" s="43"/>
    </row>
    <row r="117" ht="14.25" customHeight="1">
      <c r="A117" s="48">
        <v>20063.0</v>
      </c>
      <c r="B117" s="44">
        <v>45768.0</v>
      </c>
      <c r="C117" s="48" t="s">
        <v>82</v>
      </c>
      <c r="D117" s="48" t="s">
        <v>52</v>
      </c>
      <c r="E117" s="48" t="s">
        <v>53</v>
      </c>
      <c r="F117" s="48" t="s">
        <v>98</v>
      </c>
      <c r="G117" s="48">
        <v>10.0</v>
      </c>
      <c r="H117" s="49">
        <v>696.0</v>
      </c>
      <c r="I117" s="49">
        <v>6960.0</v>
      </c>
      <c r="J117" s="48">
        <v>0.0</v>
      </c>
      <c r="K117" s="49">
        <v>0.0</v>
      </c>
      <c r="L117" s="49">
        <v>6960.0</v>
      </c>
      <c r="M117" s="48" t="s">
        <v>68</v>
      </c>
      <c r="N117" s="48" t="s">
        <v>72</v>
      </c>
      <c r="O117" s="48" t="s">
        <v>69</v>
      </c>
      <c r="P117" s="43"/>
      <c r="Q117" s="43"/>
      <c r="R117" s="43"/>
      <c r="S117" s="43"/>
      <c r="T117" s="43"/>
      <c r="U117" s="43"/>
      <c r="V117" s="43"/>
      <c r="W117" s="43"/>
      <c r="X117" s="43"/>
      <c r="Y117" s="43"/>
      <c r="Z117" s="43"/>
    </row>
    <row r="118" ht="14.25" customHeight="1">
      <c r="A118" s="46">
        <v>20106.0</v>
      </c>
      <c r="B118" s="44">
        <v>45768.0</v>
      </c>
      <c r="C118" s="46" t="s">
        <v>24</v>
      </c>
      <c r="D118" s="46" t="s">
        <v>52</v>
      </c>
      <c r="E118" s="46" t="s">
        <v>59</v>
      </c>
      <c r="F118" s="46" t="s">
        <v>60</v>
      </c>
      <c r="G118" s="46">
        <v>7.0</v>
      </c>
      <c r="H118" s="47">
        <v>264.0</v>
      </c>
      <c r="I118" s="47">
        <v>1848.0</v>
      </c>
      <c r="J118" s="46">
        <v>15.0</v>
      </c>
      <c r="K118" s="47">
        <v>277.0</v>
      </c>
      <c r="L118" s="47">
        <v>1571.0</v>
      </c>
      <c r="M118" s="46" t="s">
        <v>71</v>
      </c>
      <c r="N118" s="46" t="s">
        <v>72</v>
      </c>
      <c r="O118" s="46" t="s">
        <v>44</v>
      </c>
      <c r="P118" s="43"/>
      <c r="Q118" s="43"/>
      <c r="R118" s="43"/>
      <c r="S118" s="43"/>
      <c r="T118" s="43"/>
      <c r="U118" s="43"/>
      <c r="V118" s="43"/>
      <c r="W118" s="43"/>
      <c r="X118" s="43"/>
      <c r="Y118" s="43"/>
      <c r="Z118" s="43"/>
    </row>
    <row r="119" ht="14.25" customHeight="1">
      <c r="A119" s="46">
        <v>20258.0</v>
      </c>
      <c r="B119" s="44">
        <v>45768.0</v>
      </c>
      <c r="C119" s="46" t="s">
        <v>93</v>
      </c>
      <c r="D119" s="46" t="s">
        <v>25</v>
      </c>
      <c r="E119" s="46" t="s">
        <v>26</v>
      </c>
      <c r="F119" s="46" t="s">
        <v>111</v>
      </c>
      <c r="G119" s="46">
        <v>9.0</v>
      </c>
      <c r="H119" s="47">
        <v>413.0</v>
      </c>
      <c r="I119" s="47">
        <v>3717.0</v>
      </c>
      <c r="J119" s="46">
        <v>5.0</v>
      </c>
      <c r="K119" s="47">
        <v>186.0</v>
      </c>
      <c r="L119" s="47">
        <v>3531.0</v>
      </c>
      <c r="M119" s="46" t="s">
        <v>61</v>
      </c>
      <c r="N119" s="46" t="s">
        <v>62</v>
      </c>
      <c r="O119" s="46" t="s">
        <v>57</v>
      </c>
      <c r="P119" s="43"/>
      <c r="Q119" s="43"/>
      <c r="R119" s="43"/>
      <c r="S119" s="43"/>
      <c r="T119" s="43"/>
      <c r="U119" s="43"/>
      <c r="V119" s="43"/>
      <c r="W119" s="43"/>
      <c r="X119" s="43"/>
      <c r="Y119" s="43"/>
      <c r="Z119" s="43"/>
    </row>
    <row r="120" ht="14.25" customHeight="1">
      <c r="A120" s="48">
        <v>20275.0</v>
      </c>
      <c r="B120" s="44">
        <v>45768.0</v>
      </c>
      <c r="C120" s="48" t="s">
        <v>84</v>
      </c>
      <c r="D120" s="48" t="s">
        <v>46</v>
      </c>
      <c r="E120" s="48" t="s">
        <v>77</v>
      </c>
      <c r="F120" s="48" t="s">
        <v>90</v>
      </c>
      <c r="G120" s="48">
        <v>12.0</v>
      </c>
      <c r="H120" s="49">
        <v>3814.0</v>
      </c>
      <c r="I120" s="49">
        <v>45768.0</v>
      </c>
      <c r="J120" s="48">
        <v>15.0</v>
      </c>
      <c r="K120" s="49">
        <v>6865.0</v>
      </c>
      <c r="L120" s="49">
        <v>38903.0</v>
      </c>
      <c r="M120" s="48" t="s">
        <v>96</v>
      </c>
      <c r="N120" s="48" t="s">
        <v>72</v>
      </c>
      <c r="O120" s="48" t="s">
        <v>69</v>
      </c>
      <c r="P120" s="43"/>
      <c r="Q120" s="43"/>
      <c r="R120" s="43"/>
      <c r="S120" s="43"/>
      <c r="T120" s="43"/>
      <c r="U120" s="43"/>
      <c r="V120" s="43"/>
      <c r="W120" s="43"/>
      <c r="X120" s="43"/>
      <c r="Y120" s="43"/>
      <c r="Z120" s="43"/>
    </row>
    <row r="121" ht="14.25" customHeight="1">
      <c r="A121" s="48">
        <v>20043.0</v>
      </c>
      <c r="B121" s="44">
        <v>45770.0</v>
      </c>
      <c r="C121" s="48" t="s">
        <v>80</v>
      </c>
      <c r="D121" s="48" t="s">
        <v>64</v>
      </c>
      <c r="E121" s="48" t="s">
        <v>47</v>
      </c>
      <c r="F121" s="48" t="s">
        <v>27</v>
      </c>
      <c r="G121" s="48">
        <v>1.0</v>
      </c>
      <c r="H121" s="49">
        <v>745.0</v>
      </c>
      <c r="I121" s="49">
        <v>745.0</v>
      </c>
      <c r="J121" s="48">
        <v>20.0</v>
      </c>
      <c r="K121" s="49">
        <v>149.0</v>
      </c>
      <c r="L121" s="49">
        <v>596.0</v>
      </c>
      <c r="M121" s="48" t="s">
        <v>42</v>
      </c>
      <c r="N121" s="48" t="s">
        <v>56</v>
      </c>
      <c r="O121" s="48" t="s">
        <v>57</v>
      </c>
      <c r="P121" s="43"/>
      <c r="Q121" s="43"/>
      <c r="R121" s="43"/>
      <c r="S121" s="43"/>
      <c r="T121" s="43"/>
      <c r="U121" s="43"/>
      <c r="V121" s="43"/>
      <c r="W121" s="43"/>
      <c r="X121" s="43"/>
      <c r="Y121" s="43"/>
      <c r="Z121" s="43"/>
    </row>
    <row r="122" ht="14.25" customHeight="1">
      <c r="A122" s="48">
        <v>20049.0</v>
      </c>
      <c r="B122" s="44">
        <v>45770.0</v>
      </c>
      <c r="C122" s="48" t="s">
        <v>66</v>
      </c>
      <c r="D122" s="48" t="s">
        <v>46</v>
      </c>
      <c r="E122" s="48" t="s">
        <v>59</v>
      </c>
      <c r="F122" s="48" t="s">
        <v>86</v>
      </c>
      <c r="G122" s="48">
        <v>1.0</v>
      </c>
      <c r="H122" s="49">
        <v>407.0</v>
      </c>
      <c r="I122" s="49">
        <v>407.0</v>
      </c>
      <c r="J122" s="48">
        <v>15.0</v>
      </c>
      <c r="K122" s="49">
        <v>61.0</v>
      </c>
      <c r="L122" s="49">
        <v>346.0</v>
      </c>
      <c r="M122" s="48" t="s">
        <v>68</v>
      </c>
      <c r="N122" s="48" t="s">
        <v>43</v>
      </c>
      <c r="O122" s="48" t="s">
        <v>69</v>
      </c>
      <c r="P122" s="43"/>
      <c r="Q122" s="43"/>
      <c r="R122" s="43"/>
      <c r="S122" s="43"/>
      <c r="T122" s="43"/>
      <c r="U122" s="43"/>
      <c r="V122" s="43"/>
      <c r="W122" s="43"/>
      <c r="X122" s="43"/>
      <c r="Y122" s="43"/>
      <c r="Z122" s="43"/>
    </row>
    <row r="123" ht="14.25" customHeight="1">
      <c r="A123" s="48">
        <v>20061.0</v>
      </c>
      <c r="B123" s="44">
        <v>45771.0</v>
      </c>
      <c r="C123" s="48" t="s">
        <v>51</v>
      </c>
      <c r="D123" s="48" t="s">
        <v>52</v>
      </c>
      <c r="E123" s="48" t="s">
        <v>77</v>
      </c>
      <c r="F123" s="48" t="s">
        <v>101</v>
      </c>
      <c r="G123" s="48">
        <v>11.0</v>
      </c>
      <c r="H123" s="49">
        <v>4776.0</v>
      </c>
      <c r="I123" s="49">
        <v>52536.0</v>
      </c>
      <c r="J123" s="48">
        <v>5.0</v>
      </c>
      <c r="K123" s="49">
        <v>2627.0</v>
      </c>
      <c r="L123" s="49">
        <v>49909.0</v>
      </c>
      <c r="M123" s="48" t="s">
        <v>87</v>
      </c>
      <c r="N123" s="48" t="s">
        <v>72</v>
      </c>
      <c r="O123" s="48" t="s">
        <v>44</v>
      </c>
      <c r="P123" s="43"/>
      <c r="Q123" s="43"/>
      <c r="R123" s="43"/>
      <c r="S123" s="43"/>
      <c r="T123" s="43"/>
      <c r="U123" s="43"/>
      <c r="V123" s="43"/>
      <c r="W123" s="43"/>
      <c r="X123" s="43"/>
      <c r="Y123" s="43"/>
      <c r="Z123" s="43"/>
    </row>
    <row r="124" ht="14.25" customHeight="1">
      <c r="A124" s="48">
        <v>20289.0</v>
      </c>
      <c r="B124" s="44">
        <v>45772.0</v>
      </c>
      <c r="C124" s="48" t="s">
        <v>80</v>
      </c>
      <c r="D124" s="48" t="s">
        <v>64</v>
      </c>
      <c r="E124" s="48" t="s">
        <v>59</v>
      </c>
      <c r="F124" s="48" t="s">
        <v>85</v>
      </c>
      <c r="G124" s="48">
        <v>12.0</v>
      </c>
      <c r="H124" s="49">
        <v>433.0</v>
      </c>
      <c r="I124" s="49">
        <v>5196.0</v>
      </c>
      <c r="J124" s="48">
        <v>15.0</v>
      </c>
      <c r="K124" s="49">
        <v>779.0</v>
      </c>
      <c r="L124" s="49">
        <v>4417.0</v>
      </c>
      <c r="M124" s="48" t="s">
        <v>49</v>
      </c>
      <c r="N124" s="48" t="s">
        <v>43</v>
      </c>
      <c r="O124" s="48" t="s">
        <v>57</v>
      </c>
      <c r="P124" s="43"/>
      <c r="Q124" s="43"/>
      <c r="R124" s="43"/>
      <c r="S124" s="43"/>
      <c r="T124" s="43"/>
      <c r="U124" s="43"/>
      <c r="V124" s="43"/>
      <c r="W124" s="43"/>
      <c r="X124" s="43"/>
      <c r="Y124" s="43"/>
      <c r="Z124" s="43"/>
    </row>
    <row r="125" ht="14.25" customHeight="1">
      <c r="A125" s="46">
        <v>20078.0</v>
      </c>
      <c r="B125" s="44">
        <v>45773.0</v>
      </c>
      <c r="C125" s="46" t="s">
        <v>58</v>
      </c>
      <c r="D125" s="46" t="s">
        <v>25</v>
      </c>
      <c r="E125" s="46" t="s">
        <v>59</v>
      </c>
      <c r="F125" s="46" t="s">
        <v>79</v>
      </c>
      <c r="G125" s="46">
        <v>11.0</v>
      </c>
      <c r="H125" s="47">
        <v>209.0</v>
      </c>
      <c r="I125" s="47">
        <v>2299.0</v>
      </c>
      <c r="J125" s="46">
        <v>15.0</v>
      </c>
      <c r="K125" s="47">
        <v>345.0</v>
      </c>
      <c r="L125" s="47">
        <v>1954.0</v>
      </c>
      <c r="M125" s="46" t="s">
        <v>96</v>
      </c>
      <c r="N125" s="46" t="s">
        <v>43</v>
      </c>
      <c r="O125" s="46" t="s">
        <v>44</v>
      </c>
      <c r="P125" s="43"/>
      <c r="Q125" s="43"/>
      <c r="R125" s="43"/>
      <c r="S125" s="43"/>
      <c r="T125" s="43"/>
      <c r="U125" s="43"/>
      <c r="V125" s="43"/>
      <c r="W125" s="43"/>
      <c r="X125" s="43"/>
      <c r="Y125" s="43"/>
      <c r="Z125" s="43"/>
    </row>
    <row r="126" ht="14.25" customHeight="1">
      <c r="A126" s="48">
        <v>20197.0</v>
      </c>
      <c r="B126" s="44">
        <v>45773.0</v>
      </c>
      <c r="C126" s="48" t="s">
        <v>89</v>
      </c>
      <c r="D126" s="48" t="s">
        <v>46</v>
      </c>
      <c r="E126" s="48" t="s">
        <v>77</v>
      </c>
      <c r="F126" s="48" t="s">
        <v>110</v>
      </c>
      <c r="G126" s="48">
        <v>15.0</v>
      </c>
      <c r="H126" s="49">
        <v>5507.0</v>
      </c>
      <c r="I126" s="49">
        <v>82605.0</v>
      </c>
      <c r="J126" s="48">
        <v>10.0</v>
      </c>
      <c r="K126" s="49">
        <v>8260.0</v>
      </c>
      <c r="L126" s="49">
        <v>74345.0</v>
      </c>
      <c r="M126" s="48" t="s">
        <v>68</v>
      </c>
      <c r="N126" s="48" t="s">
        <v>43</v>
      </c>
      <c r="O126" s="48" t="s">
        <v>69</v>
      </c>
      <c r="P126" s="43"/>
      <c r="Q126" s="43"/>
      <c r="R126" s="43"/>
      <c r="S126" s="43"/>
      <c r="T126" s="43"/>
      <c r="U126" s="43"/>
      <c r="V126" s="43"/>
      <c r="W126" s="43"/>
      <c r="X126" s="43"/>
      <c r="Y126" s="43"/>
      <c r="Z126" s="43"/>
    </row>
    <row r="127" ht="14.25" customHeight="1">
      <c r="A127" s="48">
        <v>20211.0</v>
      </c>
      <c r="B127" s="44">
        <v>45775.0</v>
      </c>
      <c r="C127" s="48" t="s">
        <v>99</v>
      </c>
      <c r="D127" s="48" t="s">
        <v>64</v>
      </c>
      <c r="E127" s="48" t="s">
        <v>47</v>
      </c>
      <c r="F127" s="48" t="s">
        <v>27</v>
      </c>
      <c r="G127" s="48">
        <v>5.0</v>
      </c>
      <c r="H127" s="49">
        <v>1347.0</v>
      </c>
      <c r="I127" s="49">
        <v>6735.0</v>
      </c>
      <c r="J127" s="48">
        <v>10.0</v>
      </c>
      <c r="K127" s="49">
        <v>674.0</v>
      </c>
      <c r="L127" s="49">
        <v>6061.0</v>
      </c>
      <c r="M127" s="48" t="s">
        <v>49</v>
      </c>
      <c r="N127" s="48" t="s">
        <v>62</v>
      </c>
      <c r="O127" s="48" t="s">
        <v>69</v>
      </c>
      <c r="P127" s="43"/>
      <c r="Q127" s="43"/>
      <c r="R127" s="43"/>
      <c r="S127" s="43"/>
      <c r="T127" s="43"/>
      <c r="U127" s="43"/>
      <c r="V127" s="43"/>
      <c r="W127" s="43"/>
      <c r="X127" s="43"/>
      <c r="Y127" s="43"/>
      <c r="Z127" s="43"/>
    </row>
    <row r="128" ht="14.25" customHeight="1">
      <c r="A128" s="46">
        <v>20334.0</v>
      </c>
      <c r="B128" s="44">
        <v>45776.0</v>
      </c>
      <c r="C128" s="46" t="s">
        <v>73</v>
      </c>
      <c r="D128" s="46" t="s">
        <v>52</v>
      </c>
      <c r="E128" s="46" t="s">
        <v>53</v>
      </c>
      <c r="F128" s="46" t="s">
        <v>95</v>
      </c>
      <c r="G128" s="46">
        <v>8.0</v>
      </c>
      <c r="H128" s="47">
        <v>656.0</v>
      </c>
      <c r="I128" s="47">
        <v>5248.0</v>
      </c>
      <c r="J128" s="46">
        <v>0.0</v>
      </c>
      <c r="K128" s="47">
        <v>0.0</v>
      </c>
      <c r="L128" s="47">
        <v>5248.0</v>
      </c>
      <c r="M128" s="46" t="s">
        <v>55</v>
      </c>
      <c r="N128" s="46" t="s">
        <v>43</v>
      </c>
      <c r="O128" s="46" t="s">
        <v>57</v>
      </c>
      <c r="P128" s="43"/>
      <c r="Q128" s="43"/>
      <c r="R128" s="43"/>
      <c r="S128" s="43"/>
      <c r="T128" s="43"/>
      <c r="U128" s="43"/>
      <c r="V128" s="43"/>
      <c r="W128" s="43"/>
      <c r="X128" s="43"/>
      <c r="Y128" s="43"/>
      <c r="Z128" s="43"/>
    </row>
    <row r="129" ht="14.25" customHeight="1">
      <c r="A129" s="46">
        <v>20194.0</v>
      </c>
      <c r="B129" s="44">
        <v>45777.0</v>
      </c>
      <c r="C129" s="46" t="s">
        <v>99</v>
      </c>
      <c r="D129" s="46" t="s">
        <v>64</v>
      </c>
      <c r="E129" s="46" t="s">
        <v>26</v>
      </c>
      <c r="F129" s="46" t="s">
        <v>100</v>
      </c>
      <c r="G129" s="46">
        <v>9.0</v>
      </c>
      <c r="H129" s="47">
        <v>416.0</v>
      </c>
      <c r="I129" s="47">
        <v>3744.0</v>
      </c>
      <c r="J129" s="46">
        <v>10.0</v>
      </c>
      <c r="K129" s="47">
        <v>374.0</v>
      </c>
      <c r="L129" s="47">
        <v>3370.0</v>
      </c>
      <c r="M129" s="46" t="s">
        <v>49</v>
      </c>
      <c r="N129" s="46" t="s">
        <v>72</v>
      </c>
      <c r="O129" s="46" t="s">
        <v>69</v>
      </c>
      <c r="P129" s="43"/>
      <c r="Q129" s="43"/>
      <c r="R129" s="43"/>
      <c r="S129" s="43"/>
      <c r="T129" s="43"/>
      <c r="U129" s="43"/>
      <c r="V129" s="43"/>
      <c r="W129" s="43"/>
      <c r="X129" s="43"/>
      <c r="Y129" s="43"/>
      <c r="Z129" s="43"/>
    </row>
    <row r="130" ht="14.25" customHeight="1">
      <c r="A130" s="48">
        <v>20183.0</v>
      </c>
      <c r="B130" s="44">
        <v>45778.0</v>
      </c>
      <c r="C130" s="48" t="s">
        <v>73</v>
      </c>
      <c r="D130" s="48" t="s">
        <v>52</v>
      </c>
      <c r="E130" s="48" t="s">
        <v>53</v>
      </c>
      <c r="F130" s="48" t="s">
        <v>95</v>
      </c>
      <c r="G130" s="48">
        <v>5.0</v>
      </c>
      <c r="H130" s="49">
        <v>1637.0</v>
      </c>
      <c r="I130" s="49">
        <v>8185.0</v>
      </c>
      <c r="J130" s="48">
        <v>0.0</v>
      </c>
      <c r="K130" s="49">
        <v>0.0</v>
      </c>
      <c r="L130" s="49">
        <v>8185.0</v>
      </c>
      <c r="M130" s="48" t="s">
        <v>71</v>
      </c>
      <c r="N130" s="48" t="s">
        <v>43</v>
      </c>
      <c r="O130" s="48" t="s">
        <v>44</v>
      </c>
      <c r="P130" s="43"/>
      <c r="Q130" s="43"/>
      <c r="R130" s="43"/>
      <c r="S130" s="43"/>
      <c r="T130" s="43"/>
      <c r="U130" s="43"/>
      <c r="V130" s="43"/>
      <c r="W130" s="43"/>
      <c r="X130" s="43"/>
      <c r="Y130" s="43"/>
      <c r="Z130" s="43"/>
    </row>
    <row r="131" ht="14.25" customHeight="1">
      <c r="A131" s="48">
        <v>20161.0</v>
      </c>
      <c r="B131" s="44">
        <v>45781.0</v>
      </c>
      <c r="C131" s="48" t="s">
        <v>73</v>
      </c>
      <c r="D131" s="48" t="s">
        <v>52</v>
      </c>
      <c r="E131" s="48" t="s">
        <v>26</v>
      </c>
      <c r="F131" s="48" t="s">
        <v>74</v>
      </c>
      <c r="G131" s="48">
        <v>8.0</v>
      </c>
      <c r="H131" s="49">
        <v>373.0</v>
      </c>
      <c r="I131" s="49">
        <v>2984.0</v>
      </c>
      <c r="J131" s="48">
        <v>5.0</v>
      </c>
      <c r="K131" s="49">
        <v>149.0</v>
      </c>
      <c r="L131" s="49">
        <v>2835.0</v>
      </c>
      <c r="M131" s="48" t="s">
        <v>49</v>
      </c>
      <c r="N131" s="48" t="s">
        <v>43</v>
      </c>
      <c r="O131" s="48" t="s">
        <v>69</v>
      </c>
      <c r="P131" s="43"/>
      <c r="Q131" s="43"/>
      <c r="R131" s="43"/>
      <c r="S131" s="43"/>
      <c r="T131" s="43"/>
      <c r="U131" s="43"/>
      <c r="V131" s="43"/>
      <c r="W131" s="43"/>
      <c r="X131" s="43"/>
      <c r="Y131" s="43"/>
      <c r="Z131" s="43"/>
    </row>
    <row r="132" ht="14.25" customHeight="1">
      <c r="A132" s="48">
        <v>20193.0</v>
      </c>
      <c r="B132" s="44">
        <v>45781.0</v>
      </c>
      <c r="C132" s="48" t="s">
        <v>99</v>
      </c>
      <c r="D132" s="48" t="s">
        <v>64</v>
      </c>
      <c r="E132" s="48" t="s">
        <v>26</v>
      </c>
      <c r="F132" s="48" t="s">
        <v>104</v>
      </c>
      <c r="G132" s="48">
        <v>10.0</v>
      </c>
      <c r="H132" s="49">
        <v>154.0</v>
      </c>
      <c r="I132" s="49">
        <v>1540.0</v>
      </c>
      <c r="J132" s="48">
        <v>0.0</v>
      </c>
      <c r="K132" s="49">
        <v>0.0</v>
      </c>
      <c r="L132" s="49">
        <v>1540.0</v>
      </c>
      <c r="M132" s="48" t="s">
        <v>81</v>
      </c>
      <c r="N132" s="48" t="s">
        <v>43</v>
      </c>
      <c r="O132" s="48" t="s">
        <v>44</v>
      </c>
      <c r="P132" s="43"/>
      <c r="Q132" s="43"/>
      <c r="R132" s="43"/>
      <c r="S132" s="43"/>
      <c r="T132" s="43"/>
      <c r="U132" s="43"/>
      <c r="V132" s="43"/>
      <c r="W132" s="43"/>
      <c r="X132" s="43"/>
      <c r="Y132" s="43"/>
      <c r="Z132" s="43"/>
    </row>
    <row r="133" ht="14.25" customHeight="1">
      <c r="A133" s="46">
        <v>20406.0</v>
      </c>
      <c r="B133" s="44">
        <v>45781.0</v>
      </c>
      <c r="C133" s="46" t="s">
        <v>66</v>
      </c>
      <c r="D133" s="46" t="s">
        <v>46</v>
      </c>
      <c r="E133" s="46" t="s">
        <v>77</v>
      </c>
      <c r="F133" s="46" t="s">
        <v>78</v>
      </c>
      <c r="G133" s="46">
        <v>4.0</v>
      </c>
      <c r="H133" s="47">
        <v>7751.0</v>
      </c>
      <c r="I133" s="47">
        <v>31004.0</v>
      </c>
      <c r="J133" s="46">
        <v>20.0</v>
      </c>
      <c r="K133" s="47">
        <v>6201.0</v>
      </c>
      <c r="L133" s="47">
        <v>24803.0</v>
      </c>
      <c r="M133" s="46" t="s">
        <v>71</v>
      </c>
      <c r="N133" s="46" t="s">
        <v>62</v>
      </c>
      <c r="O133" s="46" t="s">
        <v>69</v>
      </c>
      <c r="P133" s="43"/>
      <c r="Q133" s="43"/>
      <c r="R133" s="43"/>
      <c r="S133" s="43"/>
      <c r="T133" s="43"/>
      <c r="U133" s="43"/>
      <c r="V133" s="43"/>
      <c r="W133" s="43"/>
      <c r="X133" s="43"/>
      <c r="Y133" s="43"/>
      <c r="Z133" s="43"/>
    </row>
    <row r="134" ht="14.25" customHeight="1">
      <c r="A134" s="48">
        <v>20027.0</v>
      </c>
      <c r="B134" s="44">
        <v>45783.0</v>
      </c>
      <c r="C134" s="48" t="s">
        <v>45</v>
      </c>
      <c r="D134" s="48" t="s">
        <v>46</v>
      </c>
      <c r="E134" s="48" t="s">
        <v>53</v>
      </c>
      <c r="F134" s="48" t="s">
        <v>75</v>
      </c>
      <c r="G134" s="48">
        <v>8.0</v>
      </c>
      <c r="H134" s="49">
        <v>1638.0</v>
      </c>
      <c r="I134" s="49">
        <v>13104.0</v>
      </c>
      <c r="J134" s="48">
        <v>15.0</v>
      </c>
      <c r="K134" s="49">
        <v>1966.0</v>
      </c>
      <c r="L134" s="49">
        <v>11138.0</v>
      </c>
      <c r="M134" s="48" t="s">
        <v>87</v>
      </c>
      <c r="N134" s="48" t="s">
        <v>72</v>
      </c>
      <c r="O134" s="48" t="s">
        <v>57</v>
      </c>
      <c r="P134" s="43"/>
      <c r="Q134" s="43"/>
      <c r="R134" s="43"/>
      <c r="S134" s="43"/>
      <c r="T134" s="43"/>
      <c r="U134" s="43"/>
      <c r="V134" s="43"/>
      <c r="W134" s="43"/>
      <c r="X134" s="43"/>
      <c r="Y134" s="43"/>
      <c r="Z134" s="43"/>
    </row>
    <row r="135" ht="14.25" customHeight="1">
      <c r="A135" s="46">
        <v>20058.0</v>
      </c>
      <c r="B135" s="44">
        <v>45783.0</v>
      </c>
      <c r="C135" s="46" t="s">
        <v>92</v>
      </c>
      <c r="D135" s="46" t="s">
        <v>25</v>
      </c>
      <c r="E135" s="46" t="s">
        <v>53</v>
      </c>
      <c r="F135" s="46" t="s">
        <v>48</v>
      </c>
      <c r="G135" s="46">
        <v>4.0</v>
      </c>
      <c r="H135" s="47">
        <v>1548.0</v>
      </c>
      <c r="I135" s="47">
        <v>6192.0</v>
      </c>
      <c r="J135" s="46">
        <v>0.0</v>
      </c>
      <c r="K135" s="47">
        <v>0.0</v>
      </c>
      <c r="L135" s="47">
        <v>6192.0</v>
      </c>
      <c r="M135" s="46" t="s">
        <v>81</v>
      </c>
      <c r="N135" s="46" t="s">
        <v>43</v>
      </c>
      <c r="O135" s="46" t="s">
        <v>44</v>
      </c>
      <c r="P135" s="43"/>
      <c r="Q135" s="43"/>
      <c r="R135" s="43"/>
      <c r="S135" s="43"/>
      <c r="T135" s="43"/>
      <c r="U135" s="43"/>
      <c r="V135" s="43"/>
      <c r="W135" s="43"/>
      <c r="X135" s="43"/>
      <c r="Y135" s="43"/>
      <c r="Z135" s="43"/>
    </row>
    <row r="136" ht="14.25" customHeight="1">
      <c r="A136" s="46">
        <v>20280.0</v>
      </c>
      <c r="B136" s="44">
        <v>45783.0</v>
      </c>
      <c r="C136" s="46" t="s">
        <v>89</v>
      </c>
      <c r="D136" s="46" t="s">
        <v>46</v>
      </c>
      <c r="E136" s="46" t="s">
        <v>59</v>
      </c>
      <c r="F136" s="46" t="s">
        <v>86</v>
      </c>
      <c r="G136" s="46">
        <v>15.0</v>
      </c>
      <c r="H136" s="47">
        <v>203.0</v>
      </c>
      <c r="I136" s="47">
        <v>3045.0</v>
      </c>
      <c r="J136" s="46">
        <v>0.0</v>
      </c>
      <c r="K136" s="47">
        <v>0.0</v>
      </c>
      <c r="L136" s="47">
        <v>3045.0</v>
      </c>
      <c r="M136" s="46" t="s">
        <v>61</v>
      </c>
      <c r="N136" s="46" t="s">
        <v>50</v>
      </c>
      <c r="O136" s="46" t="s">
        <v>57</v>
      </c>
      <c r="P136" s="43"/>
      <c r="Q136" s="43"/>
      <c r="R136" s="43"/>
      <c r="S136" s="43"/>
      <c r="T136" s="43"/>
      <c r="U136" s="43"/>
      <c r="V136" s="43"/>
      <c r="W136" s="43"/>
      <c r="X136" s="43"/>
      <c r="Y136" s="43"/>
      <c r="Z136" s="43"/>
    </row>
    <row r="137" ht="14.25" customHeight="1">
      <c r="A137" s="48">
        <v>20045.0</v>
      </c>
      <c r="B137" s="44">
        <v>45784.0</v>
      </c>
      <c r="C137" s="48" t="s">
        <v>66</v>
      </c>
      <c r="D137" s="48" t="s">
        <v>46</v>
      </c>
      <c r="E137" s="48" t="s">
        <v>47</v>
      </c>
      <c r="F137" s="48" t="s">
        <v>27</v>
      </c>
      <c r="G137" s="48">
        <v>11.0</v>
      </c>
      <c r="H137" s="49">
        <v>1369.0</v>
      </c>
      <c r="I137" s="49">
        <v>15059.0</v>
      </c>
      <c r="J137" s="48">
        <v>0.0</v>
      </c>
      <c r="K137" s="49">
        <v>0.0</v>
      </c>
      <c r="L137" s="49">
        <v>15059.0</v>
      </c>
      <c r="M137" s="48" t="s">
        <v>96</v>
      </c>
      <c r="N137" s="48" t="s">
        <v>72</v>
      </c>
      <c r="O137" s="48" t="s">
        <v>44</v>
      </c>
      <c r="P137" s="43"/>
      <c r="Q137" s="43"/>
      <c r="R137" s="43"/>
      <c r="S137" s="43"/>
      <c r="T137" s="43"/>
      <c r="U137" s="43"/>
      <c r="V137" s="43"/>
      <c r="W137" s="43"/>
      <c r="X137" s="43"/>
      <c r="Y137" s="43"/>
      <c r="Z137" s="43"/>
    </row>
    <row r="138" ht="14.25" customHeight="1">
      <c r="A138" s="46">
        <v>20292.0</v>
      </c>
      <c r="B138" s="44">
        <v>45785.0</v>
      </c>
      <c r="C138" s="46" t="s">
        <v>92</v>
      </c>
      <c r="D138" s="46" t="s">
        <v>25</v>
      </c>
      <c r="E138" s="46" t="s">
        <v>53</v>
      </c>
      <c r="F138" s="46" t="s">
        <v>95</v>
      </c>
      <c r="G138" s="46">
        <v>13.0</v>
      </c>
      <c r="H138" s="47">
        <v>301.0</v>
      </c>
      <c r="I138" s="47">
        <v>3913.0</v>
      </c>
      <c r="J138" s="46">
        <v>5.0</v>
      </c>
      <c r="K138" s="47">
        <v>196.0</v>
      </c>
      <c r="L138" s="47">
        <v>3717.0</v>
      </c>
      <c r="M138" s="46" t="s">
        <v>61</v>
      </c>
      <c r="N138" s="46" t="s">
        <v>50</v>
      </c>
      <c r="O138" s="46" t="s">
        <v>44</v>
      </c>
      <c r="P138" s="43"/>
      <c r="Q138" s="43"/>
      <c r="R138" s="43"/>
      <c r="S138" s="43"/>
      <c r="T138" s="43"/>
      <c r="U138" s="43"/>
      <c r="V138" s="43"/>
      <c r="W138" s="43"/>
      <c r="X138" s="43"/>
      <c r="Y138" s="43"/>
      <c r="Z138" s="43"/>
    </row>
    <row r="139" ht="14.25" customHeight="1">
      <c r="A139" s="46">
        <v>20310.0</v>
      </c>
      <c r="B139" s="44">
        <v>45785.0</v>
      </c>
      <c r="C139" s="46" t="s">
        <v>93</v>
      </c>
      <c r="D139" s="46" t="s">
        <v>25</v>
      </c>
      <c r="E139" s="46" t="s">
        <v>59</v>
      </c>
      <c r="F139" s="46" t="s">
        <v>79</v>
      </c>
      <c r="G139" s="46">
        <v>15.0</v>
      </c>
      <c r="H139" s="47">
        <v>200.0</v>
      </c>
      <c r="I139" s="47">
        <v>3000.0</v>
      </c>
      <c r="J139" s="46">
        <v>20.0</v>
      </c>
      <c r="K139" s="47">
        <v>600.0</v>
      </c>
      <c r="L139" s="47">
        <v>2400.0</v>
      </c>
      <c r="M139" s="46" t="s">
        <v>42</v>
      </c>
      <c r="N139" s="46" t="s">
        <v>56</v>
      </c>
      <c r="O139" s="46" t="s">
        <v>44</v>
      </c>
      <c r="P139" s="43"/>
      <c r="Q139" s="43"/>
      <c r="R139" s="43"/>
      <c r="S139" s="43"/>
      <c r="T139" s="43"/>
      <c r="U139" s="43"/>
      <c r="V139" s="43"/>
      <c r="W139" s="43"/>
      <c r="X139" s="43"/>
      <c r="Y139" s="43"/>
      <c r="Z139" s="43"/>
    </row>
    <row r="140" ht="14.25" customHeight="1">
      <c r="A140" s="48">
        <v>20101.0</v>
      </c>
      <c r="B140" s="44">
        <v>45786.0</v>
      </c>
      <c r="C140" s="48" t="s">
        <v>80</v>
      </c>
      <c r="D140" s="48" t="s">
        <v>64</v>
      </c>
      <c r="E140" s="48" t="s">
        <v>26</v>
      </c>
      <c r="F140" s="48" t="s">
        <v>94</v>
      </c>
      <c r="G140" s="48">
        <v>14.0</v>
      </c>
      <c r="H140" s="49">
        <v>146.0</v>
      </c>
      <c r="I140" s="49">
        <v>2044.0</v>
      </c>
      <c r="J140" s="48">
        <v>10.0</v>
      </c>
      <c r="K140" s="49">
        <v>204.0</v>
      </c>
      <c r="L140" s="49">
        <v>1840.0</v>
      </c>
      <c r="M140" s="48" t="s">
        <v>55</v>
      </c>
      <c r="N140" s="48" t="s">
        <v>62</v>
      </c>
      <c r="O140" s="48" t="s">
        <v>69</v>
      </c>
      <c r="P140" s="43"/>
      <c r="Q140" s="43"/>
      <c r="R140" s="43"/>
      <c r="S140" s="43"/>
      <c r="T140" s="43"/>
      <c r="U140" s="43"/>
      <c r="V140" s="43"/>
      <c r="W140" s="43"/>
      <c r="X140" s="43"/>
      <c r="Y140" s="43"/>
      <c r="Z140" s="43"/>
    </row>
    <row r="141" ht="14.25" customHeight="1">
      <c r="A141" s="48">
        <v>20133.0</v>
      </c>
      <c r="B141" s="44">
        <v>45786.0</v>
      </c>
      <c r="C141" s="48" t="s">
        <v>93</v>
      </c>
      <c r="D141" s="48" t="s">
        <v>25</v>
      </c>
      <c r="E141" s="48" t="s">
        <v>59</v>
      </c>
      <c r="F141" s="48" t="s">
        <v>85</v>
      </c>
      <c r="G141" s="48">
        <v>9.0</v>
      </c>
      <c r="H141" s="49">
        <v>123.0</v>
      </c>
      <c r="I141" s="49">
        <v>1107.0</v>
      </c>
      <c r="J141" s="48">
        <v>0.0</v>
      </c>
      <c r="K141" s="49">
        <v>0.0</v>
      </c>
      <c r="L141" s="49">
        <v>1107.0</v>
      </c>
      <c r="M141" s="48" t="s">
        <v>68</v>
      </c>
      <c r="N141" s="48" t="s">
        <v>72</v>
      </c>
      <c r="O141" s="48" t="s">
        <v>44</v>
      </c>
      <c r="P141" s="43"/>
      <c r="Q141" s="43"/>
      <c r="R141" s="43"/>
      <c r="S141" s="43"/>
      <c r="T141" s="43"/>
      <c r="U141" s="43"/>
      <c r="V141" s="43"/>
      <c r="W141" s="43"/>
      <c r="X141" s="43"/>
      <c r="Y141" s="43"/>
      <c r="Z141" s="43"/>
    </row>
    <row r="142" ht="14.25" customHeight="1">
      <c r="A142" s="46">
        <v>20414.0</v>
      </c>
      <c r="B142" s="44">
        <v>45786.0</v>
      </c>
      <c r="C142" s="46" t="s">
        <v>93</v>
      </c>
      <c r="D142" s="46" t="s">
        <v>25</v>
      </c>
      <c r="E142" s="46" t="s">
        <v>59</v>
      </c>
      <c r="F142" s="46" t="s">
        <v>79</v>
      </c>
      <c r="G142" s="46">
        <v>12.0</v>
      </c>
      <c r="H142" s="47">
        <v>190.0</v>
      </c>
      <c r="I142" s="47">
        <v>2280.0</v>
      </c>
      <c r="J142" s="46">
        <v>20.0</v>
      </c>
      <c r="K142" s="47">
        <v>456.0</v>
      </c>
      <c r="L142" s="47">
        <v>1824.0</v>
      </c>
      <c r="M142" s="46" t="s">
        <v>71</v>
      </c>
      <c r="N142" s="46" t="s">
        <v>43</v>
      </c>
      <c r="O142" s="46" t="s">
        <v>57</v>
      </c>
      <c r="P142" s="43"/>
      <c r="Q142" s="43"/>
      <c r="R142" s="43"/>
      <c r="S142" s="43"/>
      <c r="T142" s="43"/>
      <c r="U142" s="43"/>
      <c r="V142" s="43"/>
      <c r="W142" s="43"/>
      <c r="X142" s="43"/>
      <c r="Y142" s="43"/>
      <c r="Z142" s="43"/>
    </row>
    <row r="143" ht="14.25" customHeight="1">
      <c r="A143" s="46">
        <v>20198.0</v>
      </c>
      <c r="B143" s="44">
        <v>45788.0</v>
      </c>
      <c r="C143" s="46" t="s">
        <v>99</v>
      </c>
      <c r="D143" s="46" t="s">
        <v>64</v>
      </c>
      <c r="E143" s="46" t="s">
        <v>53</v>
      </c>
      <c r="F143" s="46" t="s">
        <v>98</v>
      </c>
      <c r="G143" s="46">
        <v>2.0</v>
      </c>
      <c r="H143" s="47">
        <v>1058.0</v>
      </c>
      <c r="I143" s="47">
        <v>2116.0</v>
      </c>
      <c r="J143" s="46">
        <v>15.0</v>
      </c>
      <c r="K143" s="47">
        <v>317.0</v>
      </c>
      <c r="L143" s="47">
        <v>1799.0</v>
      </c>
      <c r="M143" s="46" t="s">
        <v>106</v>
      </c>
      <c r="N143" s="46" t="s">
        <v>62</v>
      </c>
      <c r="O143" s="46" t="s">
        <v>44</v>
      </c>
      <c r="P143" s="43"/>
      <c r="Q143" s="43"/>
      <c r="R143" s="43"/>
      <c r="S143" s="43"/>
      <c r="T143" s="43"/>
      <c r="U143" s="43"/>
      <c r="V143" s="43"/>
      <c r="W143" s="43"/>
      <c r="X143" s="43"/>
      <c r="Y143" s="43"/>
      <c r="Z143" s="43"/>
    </row>
    <row r="144" ht="14.25" customHeight="1">
      <c r="A144" s="46">
        <v>20262.0</v>
      </c>
      <c r="B144" s="44">
        <v>45790.0</v>
      </c>
      <c r="C144" s="46" t="s">
        <v>80</v>
      </c>
      <c r="D144" s="46" t="s">
        <v>64</v>
      </c>
      <c r="E144" s="46" t="s">
        <v>53</v>
      </c>
      <c r="F144" s="46" t="s">
        <v>75</v>
      </c>
      <c r="G144" s="46">
        <v>12.0</v>
      </c>
      <c r="H144" s="47">
        <v>540.0</v>
      </c>
      <c r="I144" s="47">
        <v>6480.0</v>
      </c>
      <c r="J144" s="46">
        <v>20.0</v>
      </c>
      <c r="K144" s="47">
        <v>1296.0</v>
      </c>
      <c r="L144" s="47">
        <v>5184.0</v>
      </c>
      <c r="M144" s="46" t="s">
        <v>61</v>
      </c>
      <c r="N144" s="46" t="s">
        <v>72</v>
      </c>
      <c r="O144" s="46" t="s">
        <v>57</v>
      </c>
      <c r="P144" s="43"/>
      <c r="Q144" s="43"/>
      <c r="R144" s="43"/>
      <c r="S144" s="43"/>
      <c r="T144" s="43"/>
      <c r="U144" s="43"/>
      <c r="V144" s="43"/>
      <c r="W144" s="43"/>
      <c r="X144" s="43"/>
      <c r="Y144" s="43"/>
      <c r="Z144" s="43"/>
    </row>
    <row r="145" ht="14.25" customHeight="1">
      <c r="A145" s="48">
        <v>20051.0</v>
      </c>
      <c r="B145" s="44">
        <v>45791.0</v>
      </c>
      <c r="C145" s="48" t="s">
        <v>51</v>
      </c>
      <c r="D145" s="48" t="s">
        <v>52</v>
      </c>
      <c r="E145" s="48" t="s">
        <v>53</v>
      </c>
      <c r="F145" s="48" t="s">
        <v>75</v>
      </c>
      <c r="G145" s="48">
        <v>8.0</v>
      </c>
      <c r="H145" s="49">
        <v>1857.0</v>
      </c>
      <c r="I145" s="49">
        <v>14856.0</v>
      </c>
      <c r="J145" s="48">
        <v>20.0</v>
      </c>
      <c r="K145" s="49">
        <v>2971.0</v>
      </c>
      <c r="L145" s="49">
        <v>11885.0</v>
      </c>
      <c r="M145" s="48" t="s">
        <v>61</v>
      </c>
      <c r="N145" s="48" t="s">
        <v>72</v>
      </c>
      <c r="O145" s="48" t="s">
        <v>69</v>
      </c>
      <c r="P145" s="43"/>
      <c r="Q145" s="43"/>
      <c r="R145" s="43"/>
      <c r="S145" s="43"/>
      <c r="T145" s="43"/>
      <c r="U145" s="43"/>
      <c r="V145" s="43"/>
      <c r="W145" s="43"/>
      <c r="X145" s="43"/>
      <c r="Y145" s="43"/>
      <c r="Z145" s="43"/>
    </row>
    <row r="146" ht="14.25" customHeight="1">
      <c r="A146" s="48">
        <v>20401.0</v>
      </c>
      <c r="B146" s="44">
        <v>45791.0</v>
      </c>
      <c r="C146" s="48" t="s">
        <v>80</v>
      </c>
      <c r="D146" s="48" t="s">
        <v>64</v>
      </c>
      <c r="E146" s="48" t="s">
        <v>59</v>
      </c>
      <c r="F146" s="48" t="s">
        <v>83</v>
      </c>
      <c r="G146" s="48">
        <v>2.0</v>
      </c>
      <c r="H146" s="49">
        <v>234.0</v>
      </c>
      <c r="I146" s="49">
        <v>468.0</v>
      </c>
      <c r="J146" s="48">
        <v>20.0</v>
      </c>
      <c r="K146" s="49">
        <v>94.0</v>
      </c>
      <c r="L146" s="49">
        <v>374.0</v>
      </c>
      <c r="M146" s="48" t="s">
        <v>87</v>
      </c>
      <c r="N146" s="48" t="s">
        <v>72</v>
      </c>
      <c r="O146" s="48" t="s">
        <v>57</v>
      </c>
      <c r="P146" s="43"/>
      <c r="Q146" s="43"/>
      <c r="R146" s="43"/>
      <c r="S146" s="43"/>
      <c r="T146" s="43"/>
      <c r="U146" s="43"/>
      <c r="V146" s="43"/>
      <c r="W146" s="43"/>
      <c r="X146" s="43"/>
      <c r="Y146" s="43"/>
      <c r="Z146" s="43"/>
    </row>
    <row r="147" ht="14.25" customHeight="1">
      <c r="A147" s="48">
        <v>20381.0</v>
      </c>
      <c r="B147" s="44">
        <v>45792.0</v>
      </c>
      <c r="C147" s="48" t="s">
        <v>80</v>
      </c>
      <c r="D147" s="48" t="s">
        <v>64</v>
      </c>
      <c r="E147" s="48" t="s">
        <v>59</v>
      </c>
      <c r="F147" s="48" t="s">
        <v>86</v>
      </c>
      <c r="G147" s="48">
        <v>6.0</v>
      </c>
      <c r="H147" s="49">
        <v>252.0</v>
      </c>
      <c r="I147" s="49">
        <v>1512.0</v>
      </c>
      <c r="J147" s="48">
        <v>10.0</v>
      </c>
      <c r="K147" s="49">
        <v>151.0</v>
      </c>
      <c r="L147" s="49">
        <v>1361.0</v>
      </c>
      <c r="M147" s="48" t="s">
        <v>61</v>
      </c>
      <c r="N147" s="48" t="s">
        <v>72</v>
      </c>
      <c r="O147" s="48" t="s">
        <v>44</v>
      </c>
      <c r="P147" s="43"/>
      <c r="Q147" s="43"/>
      <c r="R147" s="43"/>
      <c r="S147" s="43"/>
      <c r="T147" s="43"/>
      <c r="U147" s="43"/>
      <c r="V147" s="43"/>
      <c r="W147" s="43"/>
      <c r="X147" s="43"/>
      <c r="Y147" s="43"/>
      <c r="Z147" s="43"/>
    </row>
    <row r="148" ht="14.25" customHeight="1">
      <c r="A148" s="46">
        <v>20102.0</v>
      </c>
      <c r="B148" s="44">
        <v>45793.0</v>
      </c>
      <c r="C148" s="46" t="s">
        <v>93</v>
      </c>
      <c r="D148" s="46" t="s">
        <v>25</v>
      </c>
      <c r="E148" s="46" t="s">
        <v>77</v>
      </c>
      <c r="F148" s="46" t="s">
        <v>105</v>
      </c>
      <c r="G148" s="46">
        <v>7.0</v>
      </c>
      <c r="H148" s="47">
        <v>7008.0</v>
      </c>
      <c r="I148" s="47">
        <v>49056.0</v>
      </c>
      <c r="J148" s="46">
        <v>20.0</v>
      </c>
      <c r="K148" s="47">
        <v>9811.0</v>
      </c>
      <c r="L148" s="47">
        <v>39245.0</v>
      </c>
      <c r="M148" s="46" t="s">
        <v>55</v>
      </c>
      <c r="N148" s="46" t="s">
        <v>56</v>
      </c>
      <c r="O148" s="46" t="s">
        <v>57</v>
      </c>
      <c r="P148" s="43"/>
      <c r="Q148" s="43"/>
      <c r="R148" s="43"/>
      <c r="S148" s="43"/>
      <c r="T148" s="43"/>
      <c r="U148" s="43"/>
      <c r="V148" s="43"/>
      <c r="W148" s="43"/>
      <c r="X148" s="43"/>
      <c r="Y148" s="43"/>
      <c r="Z148" s="43"/>
    </row>
    <row r="149" ht="14.25" customHeight="1">
      <c r="A149" s="48">
        <v>20145.0</v>
      </c>
      <c r="B149" s="44">
        <v>45794.0</v>
      </c>
      <c r="C149" s="48" t="s">
        <v>92</v>
      </c>
      <c r="D149" s="48" t="s">
        <v>25</v>
      </c>
      <c r="E149" s="48" t="s">
        <v>59</v>
      </c>
      <c r="F149" s="48" t="s">
        <v>79</v>
      </c>
      <c r="G149" s="48">
        <v>7.0</v>
      </c>
      <c r="H149" s="49">
        <v>224.0</v>
      </c>
      <c r="I149" s="49">
        <v>1568.0</v>
      </c>
      <c r="J149" s="48">
        <v>0.0</v>
      </c>
      <c r="K149" s="49">
        <v>0.0</v>
      </c>
      <c r="L149" s="49">
        <v>1568.0</v>
      </c>
      <c r="M149" s="48" t="s">
        <v>55</v>
      </c>
      <c r="N149" s="48" t="s">
        <v>72</v>
      </c>
      <c r="O149" s="48" t="s">
        <v>44</v>
      </c>
      <c r="P149" s="43"/>
      <c r="Q149" s="43"/>
      <c r="R149" s="43"/>
      <c r="S149" s="43"/>
      <c r="T149" s="43"/>
      <c r="U149" s="43"/>
      <c r="V149" s="43"/>
      <c r="W149" s="43"/>
      <c r="X149" s="43"/>
      <c r="Y149" s="43"/>
      <c r="Z149" s="43"/>
    </row>
    <row r="150" ht="14.25" customHeight="1">
      <c r="A150" s="48">
        <v>20245.0</v>
      </c>
      <c r="B150" s="44">
        <v>45795.0</v>
      </c>
      <c r="C150" s="48" t="s">
        <v>24</v>
      </c>
      <c r="D150" s="48" t="s">
        <v>52</v>
      </c>
      <c r="E150" s="48" t="s">
        <v>59</v>
      </c>
      <c r="F150" s="48" t="s">
        <v>86</v>
      </c>
      <c r="G150" s="48">
        <v>2.0</v>
      </c>
      <c r="H150" s="49">
        <v>443.0</v>
      </c>
      <c r="I150" s="49">
        <v>886.0</v>
      </c>
      <c r="J150" s="48">
        <v>15.0</v>
      </c>
      <c r="K150" s="49">
        <v>133.0</v>
      </c>
      <c r="L150" s="49">
        <v>753.0</v>
      </c>
      <c r="M150" s="48" t="s">
        <v>55</v>
      </c>
      <c r="N150" s="48" t="s">
        <v>43</v>
      </c>
      <c r="O150" s="48" t="s">
        <v>44</v>
      </c>
      <c r="P150" s="43"/>
      <c r="Q150" s="43"/>
      <c r="R150" s="43"/>
      <c r="S150" s="43"/>
      <c r="T150" s="43"/>
      <c r="U150" s="43"/>
      <c r="V150" s="43"/>
      <c r="W150" s="43"/>
      <c r="X150" s="43"/>
      <c r="Y150" s="43"/>
      <c r="Z150" s="43"/>
    </row>
    <row r="151" ht="14.25" customHeight="1">
      <c r="A151" s="48">
        <v>20247.0</v>
      </c>
      <c r="B151" s="44">
        <v>45795.0</v>
      </c>
      <c r="C151" s="48" t="s">
        <v>84</v>
      </c>
      <c r="D151" s="48" t="s">
        <v>46</v>
      </c>
      <c r="E151" s="48" t="s">
        <v>53</v>
      </c>
      <c r="F151" s="48" t="s">
        <v>95</v>
      </c>
      <c r="G151" s="48">
        <v>9.0</v>
      </c>
      <c r="H151" s="49">
        <v>1292.0</v>
      </c>
      <c r="I151" s="49">
        <v>11628.0</v>
      </c>
      <c r="J151" s="48">
        <v>0.0</v>
      </c>
      <c r="K151" s="49">
        <v>0.0</v>
      </c>
      <c r="L151" s="49">
        <v>11628.0</v>
      </c>
      <c r="M151" s="48" t="s">
        <v>71</v>
      </c>
      <c r="N151" s="48" t="s">
        <v>43</v>
      </c>
      <c r="O151" s="48" t="s">
        <v>69</v>
      </c>
      <c r="P151" s="43"/>
      <c r="Q151" s="43"/>
      <c r="R151" s="43"/>
      <c r="S151" s="43"/>
      <c r="T151" s="43"/>
      <c r="U151" s="43"/>
      <c r="V151" s="43"/>
      <c r="W151" s="43"/>
      <c r="X151" s="43"/>
      <c r="Y151" s="43"/>
      <c r="Z151" s="43"/>
    </row>
    <row r="152" ht="14.25" customHeight="1">
      <c r="A152" s="46">
        <v>20282.0</v>
      </c>
      <c r="B152" s="44">
        <v>45796.0</v>
      </c>
      <c r="C152" s="46" t="s">
        <v>80</v>
      </c>
      <c r="D152" s="46" t="s">
        <v>64</v>
      </c>
      <c r="E152" s="46" t="s">
        <v>26</v>
      </c>
      <c r="F152" s="46" t="s">
        <v>74</v>
      </c>
      <c r="G152" s="46">
        <v>10.0</v>
      </c>
      <c r="H152" s="47">
        <v>344.0</v>
      </c>
      <c r="I152" s="47">
        <v>3440.0</v>
      </c>
      <c r="J152" s="46">
        <v>20.0</v>
      </c>
      <c r="K152" s="47">
        <v>688.0</v>
      </c>
      <c r="L152" s="47">
        <v>2752.0</v>
      </c>
      <c r="M152" s="46" t="s">
        <v>42</v>
      </c>
      <c r="N152" s="46" t="s">
        <v>56</v>
      </c>
      <c r="O152" s="46" t="s">
        <v>44</v>
      </c>
      <c r="P152" s="43"/>
      <c r="Q152" s="43"/>
      <c r="R152" s="43"/>
      <c r="S152" s="43"/>
      <c r="T152" s="43"/>
      <c r="U152" s="43"/>
      <c r="V152" s="43"/>
      <c r="W152" s="43"/>
      <c r="X152" s="43"/>
      <c r="Y152" s="43"/>
      <c r="Z152" s="43"/>
    </row>
    <row r="153" ht="14.25" customHeight="1">
      <c r="A153" s="46">
        <v>20114.0</v>
      </c>
      <c r="B153" s="44">
        <v>45797.0</v>
      </c>
      <c r="C153" s="46" t="s">
        <v>99</v>
      </c>
      <c r="D153" s="46" t="s">
        <v>64</v>
      </c>
      <c r="E153" s="46" t="s">
        <v>47</v>
      </c>
      <c r="F153" s="46" t="s">
        <v>91</v>
      </c>
      <c r="G153" s="46">
        <v>6.0</v>
      </c>
      <c r="H153" s="47">
        <v>2192.0</v>
      </c>
      <c r="I153" s="47">
        <v>13152.0</v>
      </c>
      <c r="J153" s="46">
        <v>10.0</v>
      </c>
      <c r="K153" s="47">
        <v>1315.0</v>
      </c>
      <c r="L153" s="47">
        <v>11837.0</v>
      </c>
      <c r="M153" s="46" t="s">
        <v>96</v>
      </c>
      <c r="N153" s="46" t="s">
        <v>62</v>
      </c>
      <c r="O153" s="46" t="s">
        <v>69</v>
      </c>
      <c r="P153" s="43"/>
      <c r="Q153" s="43"/>
      <c r="R153" s="43"/>
      <c r="S153" s="43"/>
      <c r="T153" s="43"/>
      <c r="U153" s="43"/>
      <c r="V153" s="43"/>
      <c r="W153" s="43"/>
      <c r="X153" s="43"/>
      <c r="Y153" s="43"/>
      <c r="Z153" s="43"/>
    </row>
    <row r="154" ht="14.25" customHeight="1">
      <c r="A154" s="48">
        <v>20035.0</v>
      </c>
      <c r="B154" s="44">
        <v>45800.0</v>
      </c>
      <c r="C154" s="48" t="s">
        <v>45</v>
      </c>
      <c r="D154" s="48" t="s">
        <v>46</v>
      </c>
      <c r="E154" s="48" t="s">
        <v>47</v>
      </c>
      <c r="F154" s="48" t="s">
        <v>27</v>
      </c>
      <c r="G154" s="48">
        <v>11.0</v>
      </c>
      <c r="H154" s="49">
        <v>930.0</v>
      </c>
      <c r="I154" s="49">
        <v>10230.0</v>
      </c>
      <c r="J154" s="48">
        <v>10.0</v>
      </c>
      <c r="K154" s="49">
        <v>1023.0</v>
      </c>
      <c r="L154" s="49">
        <v>9207.0</v>
      </c>
      <c r="M154" s="48" t="s">
        <v>96</v>
      </c>
      <c r="N154" s="48" t="s">
        <v>62</v>
      </c>
      <c r="O154" s="48" t="s">
        <v>69</v>
      </c>
      <c r="P154" s="43"/>
      <c r="Q154" s="43"/>
      <c r="R154" s="43"/>
      <c r="S154" s="43"/>
      <c r="T154" s="43"/>
      <c r="U154" s="43"/>
      <c r="V154" s="43"/>
      <c r="W154" s="43"/>
      <c r="X154" s="43"/>
      <c r="Y154" s="43"/>
      <c r="Z154" s="43"/>
    </row>
    <row r="155" ht="14.25" customHeight="1">
      <c r="A155" s="48">
        <v>20223.0</v>
      </c>
      <c r="B155" s="44">
        <v>45801.0</v>
      </c>
      <c r="C155" s="48" t="s">
        <v>51</v>
      </c>
      <c r="D155" s="48" t="s">
        <v>52</v>
      </c>
      <c r="E155" s="48" t="s">
        <v>53</v>
      </c>
      <c r="F155" s="48" t="s">
        <v>102</v>
      </c>
      <c r="G155" s="48">
        <v>15.0</v>
      </c>
      <c r="H155" s="49">
        <v>1416.0</v>
      </c>
      <c r="I155" s="49">
        <v>21240.0</v>
      </c>
      <c r="J155" s="48">
        <v>0.0</v>
      </c>
      <c r="K155" s="49">
        <v>0.0</v>
      </c>
      <c r="L155" s="49">
        <v>21240.0</v>
      </c>
      <c r="M155" s="48" t="s">
        <v>42</v>
      </c>
      <c r="N155" s="48" t="s">
        <v>50</v>
      </c>
      <c r="O155" s="48" t="s">
        <v>44</v>
      </c>
      <c r="P155" s="43"/>
      <c r="Q155" s="43"/>
      <c r="R155" s="43"/>
      <c r="S155" s="43"/>
      <c r="T155" s="43"/>
      <c r="U155" s="43"/>
      <c r="V155" s="43"/>
      <c r="W155" s="43"/>
      <c r="X155" s="43"/>
      <c r="Y155" s="43"/>
      <c r="Z155" s="43"/>
    </row>
    <row r="156" ht="14.25" customHeight="1">
      <c r="A156" s="46">
        <v>20136.0</v>
      </c>
      <c r="B156" s="44">
        <v>45804.0</v>
      </c>
      <c r="C156" s="46" t="s">
        <v>82</v>
      </c>
      <c r="D156" s="46" t="s">
        <v>52</v>
      </c>
      <c r="E156" s="46" t="s">
        <v>77</v>
      </c>
      <c r="F156" s="46" t="s">
        <v>105</v>
      </c>
      <c r="G156" s="46">
        <v>8.0</v>
      </c>
      <c r="H156" s="47">
        <v>5940.0</v>
      </c>
      <c r="I156" s="47">
        <v>47520.0</v>
      </c>
      <c r="J156" s="46">
        <v>0.0</v>
      </c>
      <c r="K156" s="47">
        <v>0.0</v>
      </c>
      <c r="L156" s="47">
        <v>47520.0</v>
      </c>
      <c r="M156" s="46" t="s">
        <v>106</v>
      </c>
      <c r="N156" s="46" t="s">
        <v>50</v>
      </c>
      <c r="O156" s="46" t="s">
        <v>57</v>
      </c>
      <c r="P156" s="43"/>
      <c r="Q156" s="43"/>
      <c r="R156" s="43"/>
      <c r="S156" s="43"/>
      <c r="T156" s="43"/>
      <c r="U156" s="43"/>
      <c r="V156" s="43"/>
      <c r="W156" s="43"/>
      <c r="X156" s="43"/>
      <c r="Y156" s="43"/>
      <c r="Z156" s="43"/>
    </row>
    <row r="157" ht="14.25" customHeight="1">
      <c r="A157" s="48">
        <v>20175.0</v>
      </c>
      <c r="B157" s="44">
        <v>45806.0</v>
      </c>
      <c r="C157" s="48" t="s">
        <v>93</v>
      </c>
      <c r="D157" s="48" t="s">
        <v>25</v>
      </c>
      <c r="E157" s="48" t="s">
        <v>53</v>
      </c>
      <c r="F157" s="48" t="s">
        <v>98</v>
      </c>
      <c r="G157" s="48">
        <v>2.0</v>
      </c>
      <c r="H157" s="49">
        <v>1204.0</v>
      </c>
      <c r="I157" s="49">
        <v>2408.0</v>
      </c>
      <c r="J157" s="48">
        <v>15.0</v>
      </c>
      <c r="K157" s="49">
        <v>361.0</v>
      </c>
      <c r="L157" s="49">
        <v>2047.0</v>
      </c>
      <c r="M157" s="48" t="s">
        <v>42</v>
      </c>
      <c r="N157" s="48" t="s">
        <v>50</v>
      </c>
      <c r="O157" s="48" t="s">
        <v>69</v>
      </c>
      <c r="P157" s="43"/>
      <c r="Q157" s="43"/>
      <c r="R157" s="43"/>
      <c r="S157" s="43"/>
      <c r="T157" s="43"/>
      <c r="U157" s="43"/>
      <c r="V157" s="43"/>
      <c r="W157" s="43"/>
      <c r="X157" s="43"/>
      <c r="Y157" s="43"/>
      <c r="Z157" s="43"/>
    </row>
    <row r="158" ht="14.25" customHeight="1">
      <c r="A158" s="46">
        <v>20224.0</v>
      </c>
      <c r="B158" s="44">
        <v>45807.0</v>
      </c>
      <c r="C158" s="46" t="s">
        <v>92</v>
      </c>
      <c r="D158" s="46" t="s">
        <v>25</v>
      </c>
      <c r="E158" s="46" t="s">
        <v>59</v>
      </c>
      <c r="F158" s="46" t="s">
        <v>86</v>
      </c>
      <c r="G158" s="46">
        <v>3.0</v>
      </c>
      <c r="H158" s="47">
        <v>397.0</v>
      </c>
      <c r="I158" s="47">
        <v>1191.0</v>
      </c>
      <c r="J158" s="46">
        <v>15.0</v>
      </c>
      <c r="K158" s="47">
        <v>179.0</v>
      </c>
      <c r="L158" s="47">
        <v>1012.0</v>
      </c>
      <c r="M158" s="46" t="s">
        <v>61</v>
      </c>
      <c r="N158" s="46" t="s">
        <v>43</v>
      </c>
      <c r="O158" s="46" t="s">
        <v>69</v>
      </c>
      <c r="P158" s="43"/>
      <c r="Q158" s="43"/>
      <c r="R158" s="43"/>
      <c r="S158" s="43"/>
      <c r="T158" s="43"/>
      <c r="U158" s="43"/>
      <c r="V158" s="43"/>
      <c r="W158" s="43"/>
      <c r="X158" s="43"/>
      <c r="Y158" s="43"/>
      <c r="Z158" s="43"/>
    </row>
    <row r="159" ht="14.25" customHeight="1">
      <c r="A159" s="46">
        <v>20346.0</v>
      </c>
      <c r="B159" s="44">
        <v>45807.0</v>
      </c>
      <c r="C159" s="46" t="s">
        <v>45</v>
      </c>
      <c r="D159" s="46" t="s">
        <v>46</v>
      </c>
      <c r="E159" s="46" t="s">
        <v>26</v>
      </c>
      <c r="F159" s="46" t="s">
        <v>104</v>
      </c>
      <c r="G159" s="46">
        <v>15.0</v>
      </c>
      <c r="H159" s="47">
        <v>288.0</v>
      </c>
      <c r="I159" s="47">
        <v>4320.0</v>
      </c>
      <c r="J159" s="46">
        <v>0.0</v>
      </c>
      <c r="K159" s="47">
        <v>0.0</v>
      </c>
      <c r="L159" s="47">
        <v>4320.0</v>
      </c>
      <c r="M159" s="46" t="s">
        <v>96</v>
      </c>
      <c r="N159" s="46" t="s">
        <v>56</v>
      </c>
      <c r="O159" s="46" t="s">
        <v>69</v>
      </c>
      <c r="P159" s="43"/>
      <c r="Q159" s="43"/>
      <c r="R159" s="43"/>
      <c r="S159" s="43"/>
      <c r="T159" s="43"/>
      <c r="U159" s="43"/>
      <c r="V159" s="43"/>
      <c r="W159" s="43"/>
      <c r="X159" s="43"/>
      <c r="Y159" s="43"/>
      <c r="Z159" s="43"/>
    </row>
    <row r="160" ht="14.25" customHeight="1">
      <c r="A160" s="46">
        <v>20294.0</v>
      </c>
      <c r="B160" s="44">
        <v>45808.0</v>
      </c>
      <c r="C160" s="46" t="s">
        <v>97</v>
      </c>
      <c r="D160" s="46" t="s">
        <v>25</v>
      </c>
      <c r="E160" s="46" t="s">
        <v>53</v>
      </c>
      <c r="F160" s="46" t="s">
        <v>95</v>
      </c>
      <c r="G160" s="46">
        <v>2.0</v>
      </c>
      <c r="H160" s="47">
        <v>647.0</v>
      </c>
      <c r="I160" s="47">
        <v>1294.0</v>
      </c>
      <c r="J160" s="46">
        <v>15.0</v>
      </c>
      <c r="K160" s="47">
        <v>194.0</v>
      </c>
      <c r="L160" s="47">
        <v>1100.0</v>
      </c>
      <c r="M160" s="46" t="s">
        <v>71</v>
      </c>
      <c r="N160" s="46" t="s">
        <v>56</v>
      </c>
      <c r="O160" s="46" t="s">
        <v>69</v>
      </c>
      <c r="P160" s="43"/>
      <c r="Q160" s="43"/>
      <c r="R160" s="43"/>
      <c r="S160" s="43"/>
      <c r="T160" s="43"/>
      <c r="U160" s="43"/>
      <c r="V160" s="43"/>
      <c r="W160" s="43"/>
      <c r="X160" s="43"/>
      <c r="Y160" s="43"/>
      <c r="Z160" s="43"/>
    </row>
    <row r="161" ht="14.25" customHeight="1">
      <c r="A161" s="46">
        <v>20180.0</v>
      </c>
      <c r="B161" s="44">
        <v>45810.0</v>
      </c>
      <c r="C161" s="46" t="s">
        <v>58</v>
      </c>
      <c r="D161" s="46" t="s">
        <v>25</v>
      </c>
      <c r="E161" s="46" t="s">
        <v>53</v>
      </c>
      <c r="F161" s="46" t="s">
        <v>95</v>
      </c>
      <c r="G161" s="46">
        <v>8.0</v>
      </c>
      <c r="H161" s="47">
        <v>573.0</v>
      </c>
      <c r="I161" s="47">
        <v>4584.0</v>
      </c>
      <c r="J161" s="46">
        <v>0.0</v>
      </c>
      <c r="K161" s="47">
        <v>0.0</v>
      </c>
      <c r="L161" s="47">
        <v>4584.0</v>
      </c>
      <c r="M161" s="46" t="s">
        <v>106</v>
      </c>
      <c r="N161" s="46" t="s">
        <v>62</v>
      </c>
      <c r="O161" s="46" t="s">
        <v>44</v>
      </c>
      <c r="P161" s="43"/>
      <c r="Q161" s="43"/>
      <c r="R161" s="43"/>
      <c r="S161" s="43"/>
      <c r="T161" s="43"/>
      <c r="U161" s="43"/>
      <c r="V161" s="43"/>
      <c r="W161" s="43"/>
      <c r="X161" s="43"/>
      <c r="Y161" s="43"/>
      <c r="Z161" s="43"/>
    </row>
    <row r="162" ht="14.25" customHeight="1">
      <c r="A162" s="46">
        <v>20038.0</v>
      </c>
      <c r="B162" s="44">
        <v>45811.0</v>
      </c>
      <c r="C162" s="46" t="s">
        <v>89</v>
      </c>
      <c r="D162" s="46" t="s">
        <v>46</v>
      </c>
      <c r="E162" s="46" t="s">
        <v>59</v>
      </c>
      <c r="F162" s="46" t="s">
        <v>85</v>
      </c>
      <c r="G162" s="46">
        <v>7.0</v>
      </c>
      <c r="H162" s="47">
        <v>158.0</v>
      </c>
      <c r="I162" s="47">
        <v>1106.0</v>
      </c>
      <c r="J162" s="46">
        <v>15.0</v>
      </c>
      <c r="K162" s="47">
        <v>166.0</v>
      </c>
      <c r="L162" s="47">
        <v>940.0</v>
      </c>
      <c r="M162" s="46" t="s">
        <v>61</v>
      </c>
      <c r="N162" s="46" t="s">
        <v>50</v>
      </c>
      <c r="O162" s="46" t="s">
        <v>57</v>
      </c>
      <c r="P162" s="43"/>
      <c r="Q162" s="43"/>
      <c r="R162" s="43"/>
      <c r="S162" s="43"/>
      <c r="T162" s="43"/>
      <c r="U162" s="43"/>
      <c r="V162" s="43"/>
      <c r="W162" s="43"/>
      <c r="X162" s="43"/>
      <c r="Y162" s="43"/>
      <c r="Z162" s="43"/>
    </row>
    <row r="163" ht="14.25" customHeight="1">
      <c r="A163" s="46">
        <v>20220.0</v>
      </c>
      <c r="B163" s="44">
        <v>45811.0</v>
      </c>
      <c r="C163" s="46" t="s">
        <v>82</v>
      </c>
      <c r="D163" s="46" t="s">
        <v>52</v>
      </c>
      <c r="E163" s="46" t="s">
        <v>26</v>
      </c>
      <c r="F163" s="46" t="s">
        <v>74</v>
      </c>
      <c r="G163" s="46">
        <v>5.0</v>
      </c>
      <c r="H163" s="47">
        <v>372.0</v>
      </c>
      <c r="I163" s="47">
        <v>1860.0</v>
      </c>
      <c r="J163" s="46">
        <v>5.0</v>
      </c>
      <c r="K163" s="47">
        <v>93.0</v>
      </c>
      <c r="L163" s="47">
        <v>1767.0</v>
      </c>
      <c r="M163" s="46" t="s">
        <v>71</v>
      </c>
      <c r="N163" s="46" t="s">
        <v>50</v>
      </c>
      <c r="O163" s="46" t="s">
        <v>44</v>
      </c>
      <c r="P163" s="43"/>
      <c r="Q163" s="43"/>
      <c r="R163" s="43"/>
      <c r="S163" s="43"/>
      <c r="T163" s="43"/>
      <c r="U163" s="43"/>
      <c r="V163" s="43"/>
      <c r="W163" s="43"/>
      <c r="X163" s="43"/>
      <c r="Y163" s="43"/>
      <c r="Z163" s="43"/>
    </row>
    <row r="164" ht="14.25" customHeight="1">
      <c r="A164" s="48">
        <v>20089.0</v>
      </c>
      <c r="B164" s="44">
        <v>45812.0</v>
      </c>
      <c r="C164" s="48" t="s">
        <v>99</v>
      </c>
      <c r="D164" s="48" t="s">
        <v>64</v>
      </c>
      <c r="E164" s="48" t="s">
        <v>59</v>
      </c>
      <c r="F164" s="48" t="s">
        <v>86</v>
      </c>
      <c r="G164" s="48">
        <v>2.0</v>
      </c>
      <c r="H164" s="49">
        <v>243.0</v>
      </c>
      <c r="I164" s="49">
        <v>486.0</v>
      </c>
      <c r="J164" s="48">
        <v>15.0</v>
      </c>
      <c r="K164" s="49">
        <v>73.0</v>
      </c>
      <c r="L164" s="49">
        <v>413.0</v>
      </c>
      <c r="M164" s="48" t="s">
        <v>96</v>
      </c>
      <c r="N164" s="48" t="s">
        <v>62</v>
      </c>
      <c r="O164" s="48" t="s">
        <v>57</v>
      </c>
      <c r="P164" s="43"/>
      <c r="Q164" s="43"/>
      <c r="R164" s="43"/>
      <c r="S164" s="43"/>
      <c r="T164" s="43"/>
      <c r="U164" s="43"/>
      <c r="V164" s="43"/>
      <c r="W164" s="43"/>
      <c r="X164" s="43"/>
      <c r="Y164" s="43"/>
      <c r="Z164" s="43"/>
    </row>
    <row r="165" ht="14.25" customHeight="1">
      <c r="A165" s="48">
        <v>20195.0</v>
      </c>
      <c r="B165" s="44">
        <v>45812.0</v>
      </c>
      <c r="C165" s="48" t="s">
        <v>76</v>
      </c>
      <c r="D165" s="48" t="s">
        <v>64</v>
      </c>
      <c r="E165" s="48" t="s">
        <v>47</v>
      </c>
      <c r="F165" s="48" t="s">
        <v>65</v>
      </c>
      <c r="G165" s="48">
        <v>7.0</v>
      </c>
      <c r="H165" s="49">
        <v>916.0</v>
      </c>
      <c r="I165" s="49">
        <v>6412.0</v>
      </c>
      <c r="J165" s="48">
        <v>15.0</v>
      </c>
      <c r="K165" s="49">
        <v>962.0</v>
      </c>
      <c r="L165" s="49">
        <v>5450.0</v>
      </c>
      <c r="M165" s="48" t="s">
        <v>61</v>
      </c>
      <c r="N165" s="48" t="s">
        <v>56</v>
      </c>
      <c r="O165" s="48" t="s">
        <v>44</v>
      </c>
      <c r="P165" s="43"/>
      <c r="Q165" s="43"/>
      <c r="R165" s="43"/>
      <c r="S165" s="43"/>
      <c r="T165" s="43"/>
      <c r="U165" s="43"/>
      <c r="V165" s="43"/>
      <c r="W165" s="43"/>
      <c r="X165" s="43"/>
      <c r="Y165" s="43"/>
      <c r="Z165" s="43"/>
    </row>
    <row r="166" ht="14.25" customHeight="1">
      <c r="A166" s="48">
        <v>20307.0</v>
      </c>
      <c r="B166" s="44">
        <v>45813.0</v>
      </c>
      <c r="C166" s="48" t="s">
        <v>89</v>
      </c>
      <c r="D166" s="48" t="s">
        <v>46</v>
      </c>
      <c r="E166" s="48" t="s">
        <v>53</v>
      </c>
      <c r="F166" s="48" t="s">
        <v>48</v>
      </c>
      <c r="G166" s="48">
        <v>14.0</v>
      </c>
      <c r="H166" s="49">
        <v>765.0</v>
      </c>
      <c r="I166" s="49">
        <v>10710.0</v>
      </c>
      <c r="J166" s="48">
        <v>15.0</v>
      </c>
      <c r="K166" s="49">
        <v>1606.0</v>
      </c>
      <c r="L166" s="49">
        <v>9104.0</v>
      </c>
      <c r="M166" s="48" t="s">
        <v>42</v>
      </c>
      <c r="N166" s="48" t="s">
        <v>72</v>
      </c>
      <c r="O166" s="48" t="s">
        <v>44</v>
      </c>
      <c r="P166" s="43"/>
      <c r="Q166" s="43"/>
      <c r="R166" s="43"/>
      <c r="S166" s="43"/>
      <c r="T166" s="43"/>
      <c r="U166" s="43"/>
      <c r="V166" s="43"/>
      <c r="W166" s="43"/>
      <c r="X166" s="43"/>
      <c r="Y166" s="43"/>
      <c r="Z166" s="43"/>
    </row>
    <row r="167" ht="14.25" customHeight="1">
      <c r="A167" s="48">
        <v>20373.0</v>
      </c>
      <c r="B167" s="44">
        <v>45814.0</v>
      </c>
      <c r="C167" s="48" t="s">
        <v>76</v>
      </c>
      <c r="D167" s="48" t="s">
        <v>64</v>
      </c>
      <c r="E167" s="48" t="s">
        <v>47</v>
      </c>
      <c r="F167" s="48" t="s">
        <v>103</v>
      </c>
      <c r="G167" s="48">
        <v>6.0</v>
      </c>
      <c r="H167" s="49">
        <v>1481.0</v>
      </c>
      <c r="I167" s="49">
        <v>8886.0</v>
      </c>
      <c r="J167" s="48">
        <v>0.0</v>
      </c>
      <c r="K167" s="49">
        <v>0.0</v>
      </c>
      <c r="L167" s="49">
        <v>8886.0</v>
      </c>
      <c r="M167" s="48" t="s">
        <v>106</v>
      </c>
      <c r="N167" s="48" t="s">
        <v>43</v>
      </c>
      <c r="O167" s="48" t="s">
        <v>44</v>
      </c>
      <c r="P167" s="43"/>
      <c r="Q167" s="43"/>
      <c r="R167" s="43"/>
      <c r="S167" s="43"/>
      <c r="T167" s="43"/>
      <c r="U167" s="43"/>
      <c r="V167" s="43"/>
      <c r="W167" s="43"/>
      <c r="X167" s="43"/>
      <c r="Y167" s="43"/>
      <c r="Z167" s="43"/>
    </row>
    <row r="168" ht="14.25" customHeight="1">
      <c r="A168" s="48">
        <v>20143.0</v>
      </c>
      <c r="B168" s="44">
        <v>45816.0</v>
      </c>
      <c r="C168" s="48" t="s">
        <v>51</v>
      </c>
      <c r="D168" s="48" t="s">
        <v>52</v>
      </c>
      <c r="E168" s="48" t="s">
        <v>47</v>
      </c>
      <c r="F168" s="48" t="s">
        <v>27</v>
      </c>
      <c r="G168" s="48">
        <v>5.0</v>
      </c>
      <c r="H168" s="49">
        <v>1370.0</v>
      </c>
      <c r="I168" s="49">
        <v>6850.0</v>
      </c>
      <c r="J168" s="48">
        <v>0.0</v>
      </c>
      <c r="K168" s="49">
        <v>0.0</v>
      </c>
      <c r="L168" s="49">
        <v>6850.0</v>
      </c>
      <c r="M168" s="48" t="s">
        <v>81</v>
      </c>
      <c r="N168" s="48" t="s">
        <v>72</v>
      </c>
      <c r="O168" s="48" t="s">
        <v>44</v>
      </c>
      <c r="P168" s="43"/>
      <c r="Q168" s="43"/>
      <c r="R168" s="43"/>
      <c r="S168" s="43"/>
      <c r="T168" s="43"/>
      <c r="U168" s="43"/>
      <c r="V168" s="43"/>
      <c r="W168" s="43"/>
      <c r="X168" s="43"/>
      <c r="Y168" s="43"/>
      <c r="Z168" s="43"/>
    </row>
    <row r="169" ht="14.25" customHeight="1">
      <c r="A169" s="48">
        <v>20023.0</v>
      </c>
      <c r="B169" s="44">
        <v>45818.0</v>
      </c>
      <c r="C169" s="48" t="s">
        <v>93</v>
      </c>
      <c r="D169" s="48" t="s">
        <v>25</v>
      </c>
      <c r="E169" s="48" t="s">
        <v>26</v>
      </c>
      <c r="F169" s="48" t="s">
        <v>70</v>
      </c>
      <c r="G169" s="48">
        <v>8.0</v>
      </c>
      <c r="H169" s="49">
        <v>634.0</v>
      </c>
      <c r="I169" s="49">
        <v>5072.0</v>
      </c>
      <c r="J169" s="48">
        <v>10.0</v>
      </c>
      <c r="K169" s="49">
        <v>507.0</v>
      </c>
      <c r="L169" s="49">
        <v>4565.0</v>
      </c>
      <c r="M169" s="48" t="s">
        <v>71</v>
      </c>
      <c r="N169" s="48" t="s">
        <v>50</v>
      </c>
      <c r="O169" s="48" t="s">
        <v>69</v>
      </c>
      <c r="P169" s="43"/>
      <c r="Q169" s="43"/>
      <c r="R169" s="43"/>
      <c r="S169" s="43"/>
      <c r="T169" s="43"/>
      <c r="U169" s="43"/>
      <c r="V169" s="43"/>
      <c r="W169" s="43"/>
      <c r="X169" s="43"/>
      <c r="Y169" s="43"/>
      <c r="Z169" s="43"/>
    </row>
    <row r="170" ht="14.25" customHeight="1">
      <c r="A170" s="48">
        <v>20107.0</v>
      </c>
      <c r="B170" s="44">
        <v>45818.0</v>
      </c>
      <c r="C170" s="48" t="s">
        <v>66</v>
      </c>
      <c r="D170" s="48" t="s">
        <v>46</v>
      </c>
      <c r="E170" s="48" t="s">
        <v>53</v>
      </c>
      <c r="F170" s="48" t="s">
        <v>75</v>
      </c>
      <c r="G170" s="48">
        <v>11.0</v>
      </c>
      <c r="H170" s="49">
        <v>485.0</v>
      </c>
      <c r="I170" s="49">
        <v>5335.0</v>
      </c>
      <c r="J170" s="48">
        <v>5.0</v>
      </c>
      <c r="K170" s="49">
        <v>267.0</v>
      </c>
      <c r="L170" s="49">
        <v>5068.0</v>
      </c>
      <c r="M170" s="48" t="s">
        <v>71</v>
      </c>
      <c r="N170" s="48" t="s">
        <v>72</v>
      </c>
      <c r="O170" s="48" t="s">
        <v>69</v>
      </c>
      <c r="P170" s="43"/>
      <c r="Q170" s="43"/>
      <c r="R170" s="43"/>
      <c r="S170" s="43"/>
      <c r="T170" s="43"/>
      <c r="U170" s="43"/>
      <c r="V170" s="43"/>
      <c r="W170" s="43"/>
      <c r="X170" s="43"/>
      <c r="Y170" s="43"/>
      <c r="Z170" s="43"/>
    </row>
    <row r="171" ht="14.25" customHeight="1">
      <c r="A171" s="48">
        <v>20405.0</v>
      </c>
      <c r="B171" s="44">
        <v>45818.0</v>
      </c>
      <c r="C171" s="48" t="s">
        <v>45</v>
      </c>
      <c r="D171" s="48" t="s">
        <v>46</v>
      </c>
      <c r="E171" s="48" t="s">
        <v>77</v>
      </c>
      <c r="F171" s="48" t="s">
        <v>88</v>
      </c>
      <c r="G171" s="48">
        <v>5.0</v>
      </c>
      <c r="H171" s="49">
        <v>7012.0</v>
      </c>
      <c r="I171" s="49">
        <v>35060.0</v>
      </c>
      <c r="J171" s="48">
        <v>15.0</v>
      </c>
      <c r="K171" s="49">
        <v>5259.0</v>
      </c>
      <c r="L171" s="49">
        <v>29801.0</v>
      </c>
      <c r="M171" s="48" t="s">
        <v>106</v>
      </c>
      <c r="N171" s="48" t="s">
        <v>50</v>
      </c>
      <c r="O171" s="48" t="s">
        <v>57</v>
      </c>
      <c r="P171" s="43"/>
      <c r="Q171" s="43"/>
      <c r="R171" s="43"/>
      <c r="S171" s="43"/>
      <c r="T171" s="43"/>
      <c r="U171" s="43"/>
      <c r="V171" s="43"/>
      <c r="W171" s="43"/>
      <c r="X171" s="43"/>
      <c r="Y171" s="43"/>
      <c r="Z171" s="43"/>
    </row>
    <row r="172" ht="14.25" customHeight="1">
      <c r="A172" s="48">
        <v>20025.0</v>
      </c>
      <c r="B172" s="44">
        <v>45819.0</v>
      </c>
      <c r="C172" s="48" t="s">
        <v>66</v>
      </c>
      <c r="D172" s="48" t="s">
        <v>46</v>
      </c>
      <c r="E172" s="48" t="s">
        <v>77</v>
      </c>
      <c r="F172" s="48" t="s">
        <v>105</v>
      </c>
      <c r="G172" s="48">
        <v>12.0</v>
      </c>
      <c r="H172" s="49">
        <v>2855.0</v>
      </c>
      <c r="I172" s="49">
        <v>34260.0</v>
      </c>
      <c r="J172" s="48">
        <v>15.0</v>
      </c>
      <c r="K172" s="49">
        <v>5139.0</v>
      </c>
      <c r="L172" s="49">
        <v>29121.0</v>
      </c>
      <c r="M172" s="48" t="s">
        <v>96</v>
      </c>
      <c r="N172" s="48" t="s">
        <v>43</v>
      </c>
      <c r="O172" s="48" t="s">
        <v>44</v>
      </c>
      <c r="P172" s="43"/>
      <c r="Q172" s="43"/>
      <c r="R172" s="43"/>
      <c r="S172" s="43"/>
      <c r="T172" s="43"/>
      <c r="U172" s="43"/>
      <c r="V172" s="43"/>
      <c r="W172" s="43"/>
      <c r="X172" s="43"/>
      <c r="Y172" s="43"/>
      <c r="Z172" s="43"/>
    </row>
    <row r="173" ht="14.25" customHeight="1">
      <c r="A173" s="46">
        <v>20212.0</v>
      </c>
      <c r="B173" s="44">
        <v>45819.0</v>
      </c>
      <c r="C173" s="46" t="s">
        <v>97</v>
      </c>
      <c r="D173" s="46" t="s">
        <v>25</v>
      </c>
      <c r="E173" s="46" t="s">
        <v>77</v>
      </c>
      <c r="F173" s="46" t="s">
        <v>88</v>
      </c>
      <c r="G173" s="46">
        <v>3.0</v>
      </c>
      <c r="H173" s="47">
        <v>1530.0</v>
      </c>
      <c r="I173" s="47">
        <v>4590.0</v>
      </c>
      <c r="J173" s="46">
        <v>10.0</v>
      </c>
      <c r="K173" s="47">
        <v>459.0</v>
      </c>
      <c r="L173" s="47">
        <v>4131.0</v>
      </c>
      <c r="M173" s="46" t="s">
        <v>61</v>
      </c>
      <c r="N173" s="46" t="s">
        <v>56</v>
      </c>
      <c r="O173" s="46" t="s">
        <v>44</v>
      </c>
      <c r="P173" s="43"/>
      <c r="Q173" s="43"/>
      <c r="R173" s="43"/>
      <c r="S173" s="43"/>
      <c r="T173" s="43"/>
      <c r="U173" s="43"/>
      <c r="V173" s="43"/>
      <c r="W173" s="43"/>
      <c r="X173" s="43"/>
      <c r="Y173" s="43"/>
      <c r="Z173" s="43"/>
    </row>
    <row r="174" ht="14.25" customHeight="1">
      <c r="A174" s="46">
        <v>20266.0</v>
      </c>
      <c r="B174" s="44">
        <v>45821.0</v>
      </c>
      <c r="C174" s="46" t="s">
        <v>66</v>
      </c>
      <c r="D174" s="46" t="s">
        <v>46</v>
      </c>
      <c r="E174" s="46" t="s">
        <v>26</v>
      </c>
      <c r="F174" s="46" t="s">
        <v>70</v>
      </c>
      <c r="G174" s="46">
        <v>6.0</v>
      </c>
      <c r="H174" s="47">
        <v>242.0</v>
      </c>
      <c r="I174" s="47">
        <v>1452.0</v>
      </c>
      <c r="J174" s="46">
        <v>0.0</v>
      </c>
      <c r="K174" s="47">
        <v>0.0</v>
      </c>
      <c r="L174" s="47">
        <v>1452.0</v>
      </c>
      <c r="M174" s="46" t="s">
        <v>87</v>
      </c>
      <c r="N174" s="46" t="s">
        <v>62</v>
      </c>
      <c r="O174" s="46" t="s">
        <v>44</v>
      </c>
      <c r="P174" s="43"/>
      <c r="Q174" s="43"/>
      <c r="R174" s="43"/>
      <c r="S174" s="43"/>
      <c r="T174" s="43"/>
      <c r="U174" s="43"/>
      <c r="V174" s="43"/>
      <c r="W174" s="43"/>
      <c r="X174" s="43"/>
      <c r="Y174" s="43"/>
      <c r="Z174" s="43"/>
    </row>
    <row r="175" ht="14.25" customHeight="1">
      <c r="A175" s="48">
        <v>20317.0</v>
      </c>
      <c r="B175" s="44">
        <v>45821.0</v>
      </c>
      <c r="C175" s="48" t="s">
        <v>76</v>
      </c>
      <c r="D175" s="48" t="s">
        <v>64</v>
      </c>
      <c r="E175" s="48" t="s">
        <v>26</v>
      </c>
      <c r="F175" s="48" t="s">
        <v>94</v>
      </c>
      <c r="G175" s="48">
        <v>8.0</v>
      </c>
      <c r="H175" s="49">
        <v>422.0</v>
      </c>
      <c r="I175" s="49">
        <v>3376.0</v>
      </c>
      <c r="J175" s="48">
        <v>15.0</v>
      </c>
      <c r="K175" s="49">
        <v>506.0</v>
      </c>
      <c r="L175" s="49">
        <v>2870.0</v>
      </c>
      <c r="M175" s="48" t="s">
        <v>81</v>
      </c>
      <c r="N175" s="48" t="s">
        <v>56</v>
      </c>
      <c r="O175" s="48" t="s">
        <v>57</v>
      </c>
      <c r="P175" s="43"/>
      <c r="Q175" s="43"/>
      <c r="R175" s="43"/>
      <c r="S175" s="43"/>
      <c r="T175" s="43"/>
      <c r="U175" s="43"/>
      <c r="V175" s="43"/>
      <c r="W175" s="43"/>
      <c r="X175" s="43"/>
      <c r="Y175" s="43"/>
      <c r="Z175" s="43"/>
    </row>
    <row r="176" ht="14.25" customHeight="1">
      <c r="A176" s="46">
        <v>20040.0</v>
      </c>
      <c r="B176" s="44">
        <v>45822.0</v>
      </c>
      <c r="C176" s="46" t="s">
        <v>73</v>
      </c>
      <c r="D176" s="46" t="s">
        <v>52</v>
      </c>
      <c r="E176" s="46" t="s">
        <v>59</v>
      </c>
      <c r="F176" s="46" t="s">
        <v>86</v>
      </c>
      <c r="G176" s="46">
        <v>11.0</v>
      </c>
      <c r="H176" s="47">
        <v>436.0</v>
      </c>
      <c r="I176" s="47">
        <v>4796.0</v>
      </c>
      <c r="J176" s="46">
        <v>15.0</v>
      </c>
      <c r="K176" s="47">
        <v>719.0</v>
      </c>
      <c r="L176" s="47">
        <v>4077.0</v>
      </c>
      <c r="M176" s="46" t="s">
        <v>71</v>
      </c>
      <c r="N176" s="46" t="s">
        <v>72</v>
      </c>
      <c r="O176" s="46" t="s">
        <v>57</v>
      </c>
      <c r="P176" s="43"/>
      <c r="Q176" s="43"/>
      <c r="R176" s="43"/>
      <c r="S176" s="43"/>
      <c r="T176" s="43"/>
      <c r="U176" s="43"/>
      <c r="V176" s="43"/>
      <c r="W176" s="43"/>
      <c r="X176" s="43"/>
      <c r="Y176" s="43"/>
      <c r="Z176" s="43"/>
    </row>
    <row r="177" ht="14.25" customHeight="1">
      <c r="A177" s="46">
        <v>20118.0</v>
      </c>
      <c r="B177" s="44">
        <v>45824.0</v>
      </c>
      <c r="C177" s="46" t="s">
        <v>80</v>
      </c>
      <c r="D177" s="46" t="s">
        <v>64</v>
      </c>
      <c r="E177" s="46" t="s">
        <v>47</v>
      </c>
      <c r="F177" s="46" t="s">
        <v>27</v>
      </c>
      <c r="G177" s="46">
        <v>14.0</v>
      </c>
      <c r="H177" s="47">
        <v>1195.0</v>
      </c>
      <c r="I177" s="47">
        <v>16730.0</v>
      </c>
      <c r="J177" s="46">
        <v>5.0</v>
      </c>
      <c r="K177" s="47">
        <v>836.0</v>
      </c>
      <c r="L177" s="47">
        <v>15894.0</v>
      </c>
      <c r="M177" s="46" t="s">
        <v>49</v>
      </c>
      <c r="N177" s="46" t="s">
        <v>43</v>
      </c>
      <c r="O177" s="46" t="s">
        <v>57</v>
      </c>
      <c r="P177" s="43"/>
      <c r="Q177" s="43"/>
      <c r="R177" s="43"/>
      <c r="S177" s="43"/>
      <c r="T177" s="43"/>
      <c r="U177" s="43"/>
      <c r="V177" s="43"/>
      <c r="W177" s="43"/>
      <c r="X177" s="43"/>
      <c r="Y177" s="43"/>
      <c r="Z177" s="43"/>
    </row>
    <row r="178" ht="14.25" customHeight="1">
      <c r="A178" s="46">
        <v>20218.0</v>
      </c>
      <c r="B178" s="44">
        <v>45824.0</v>
      </c>
      <c r="C178" s="46" t="s">
        <v>51</v>
      </c>
      <c r="D178" s="46" t="s">
        <v>52</v>
      </c>
      <c r="E178" s="46" t="s">
        <v>26</v>
      </c>
      <c r="F178" s="46" t="s">
        <v>74</v>
      </c>
      <c r="G178" s="46">
        <v>7.0</v>
      </c>
      <c r="H178" s="47">
        <v>517.0</v>
      </c>
      <c r="I178" s="47">
        <v>3619.0</v>
      </c>
      <c r="J178" s="46">
        <v>0.0</v>
      </c>
      <c r="K178" s="47">
        <v>0.0</v>
      </c>
      <c r="L178" s="47">
        <v>3619.0</v>
      </c>
      <c r="M178" s="46" t="s">
        <v>49</v>
      </c>
      <c r="N178" s="46" t="s">
        <v>56</v>
      </c>
      <c r="O178" s="46" t="s">
        <v>69</v>
      </c>
      <c r="P178" s="43"/>
      <c r="Q178" s="43"/>
      <c r="R178" s="43"/>
      <c r="S178" s="43"/>
      <c r="T178" s="43"/>
      <c r="U178" s="43"/>
      <c r="V178" s="43"/>
      <c r="W178" s="43"/>
      <c r="X178" s="43"/>
      <c r="Y178" s="43"/>
      <c r="Z178" s="43"/>
    </row>
    <row r="179" ht="14.25" customHeight="1">
      <c r="A179" s="46">
        <v>20168.0</v>
      </c>
      <c r="B179" s="44">
        <v>45825.0</v>
      </c>
      <c r="C179" s="46" t="s">
        <v>84</v>
      </c>
      <c r="D179" s="46" t="s">
        <v>46</v>
      </c>
      <c r="E179" s="46" t="s">
        <v>77</v>
      </c>
      <c r="F179" s="46" t="s">
        <v>110</v>
      </c>
      <c r="G179" s="46">
        <v>10.0</v>
      </c>
      <c r="H179" s="47">
        <v>5763.0</v>
      </c>
      <c r="I179" s="47">
        <v>57630.0</v>
      </c>
      <c r="J179" s="46">
        <v>10.0</v>
      </c>
      <c r="K179" s="47">
        <v>5763.0</v>
      </c>
      <c r="L179" s="47">
        <v>51867.0</v>
      </c>
      <c r="M179" s="46" t="s">
        <v>42</v>
      </c>
      <c r="N179" s="46" t="s">
        <v>56</v>
      </c>
      <c r="O179" s="46" t="s">
        <v>44</v>
      </c>
      <c r="P179" s="43"/>
      <c r="Q179" s="43"/>
      <c r="R179" s="43"/>
      <c r="S179" s="43"/>
      <c r="T179" s="43"/>
      <c r="U179" s="43"/>
      <c r="V179" s="43"/>
      <c r="W179" s="43"/>
      <c r="X179" s="43"/>
      <c r="Y179" s="43"/>
      <c r="Z179" s="43"/>
    </row>
    <row r="180" ht="14.25" customHeight="1">
      <c r="A180" s="48">
        <v>20187.0</v>
      </c>
      <c r="B180" s="44">
        <v>45825.0</v>
      </c>
      <c r="C180" s="48" t="s">
        <v>73</v>
      </c>
      <c r="D180" s="48" t="s">
        <v>52</v>
      </c>
      <c r="E180" s="48" t="s">
        <v>26</v>
      </c>
      <c r="F180" s="48" t="s">
        <v>94</v>
      </c>
      <c r="G180" s="48">
        <v>4.0</v>
      </c>
      <c r="H180" s="49">
        <v>620.0</v>
      </c>
      <c r="I180" s="49">
        <v>2480.0</v>
      </c>
      <c r="J180" s="48">
        <v>5.0</v>
      </c>
      <c r="K180" s="49">
        <v>124.0</v>
      </c>
      <c r="L180" s="49">
        <v>2356.0</v>
      </c>
      <c r="M180" s="48" t="s">
        <v>68</v>
      </c>
      <c r="N180" s="48" t="s">
        <v>56</v>
      </c>
      <c r="O180" s="48" t="s">
        <v>44</v>
      </c>
      <c r="P180" s="43"/>
      <c r="Q180" s="43"/>
      <c r="R180" s="43"/>
      <c r="S180" s="43"/>
      <c r="T180" s="43"/>
      <c r="U180" s="43"/>
      <c r="V180" s="43"/>
      <c r="W180" s="43"/>
      <c r="X180" s="43"/>
      <c r="Y180" s="43"/>
      <c r="Z180" s="43"/>
    </row>
    <row r="181" ht="14.25" customHeight="1">
      <c r="A181" s="46">
        <v>20246.0</v>
      </c>
      <c r="B181" s="44">
        <v>45825.0</v>
      </c>
      <c r="C181" s="46" t="s">
        <v>97</v>
      </c>
      <c r="D181" s="46" t="s">
        <v>25</v>
      </c>
      <c r="E181" s="46" t="s">
        <v>26</v>
      </c>
      <c r="F181" s="46" t="s">
        <v>94</v>
      </c>
      <c r="G181" s="46">
        <v>8.0</v>
      </c>
      <c r="H181" s="47">
        <v>486.0</v>
      </c>
      <c r="I181" s="47">
        <v>3888.0</v>
      </c>
      <c r="J181" s="46">
        <v>0.0</v>
      </c>
      <c r="K181" s="47">
        <v>0.0</v>
      </c>
      <c r="L181" s="47">
        <v>3888.0</v>
      </c>
      <c r="M181" s="46" t="s">
        <v>61</v>
      </c>
      <c r="N181" s="46" t="s">
        <v>50</v>
      </c>
      <c r="O181" s="46" t="s">
        <v>44</v>
      </c>
      <c r="P181" s="43"/>
      <c r="Q181" s="43"/>
      <c r="R181" s="43"/>
      <c r="S181" s="43"/>
      <c r="T181" s="43"/>
      <c r="U181" s="43"/>
      <c r="V181" s="43"/>
      <c r="W181" s="43"/>
      <c r="X181" s="43"/>
      <c r="Y181" s="43"/>
      <c r="Z181" s="43"/>
    </row>
    <row r="182" ht="14.25" customHeight="1">
      <c r="A182" s="48">
        <v>20231.0</v>
      </c>
      <c r="B182" s="44">
        <v>45827.0</v>
      </c>
      <c r="C182" s="48" t="s">
        <v>24</v>
      </c>
      <c r="D182" s="48" t="s">
        <v>52</v>
      </c>
      <c r="E182" s="48" t="s">
        <v>59</v>
      </c>
      <c r="F182" s="48" t="s">
        <v>60</v>
      </c>
      <c r="G182" s="48">
        <v>13.0</v>
      </c>
      <c r="H182" s="49">
        <v>155.0</v>
      </c>
      <c r="I182" s="49">
        <v>2015.0</v>
      </c>
      <c r="J182" s="48">
        <v>5.0</v>
      </c>
      <c r="K182" s="49">
        <v>101.0</v>
      </c>
      <c r="L182" s="49">
        <v>1914.0</v>
      </c>
      <c r="M182" s="48" t="s">
        <v>81</v>
      </c>
      <c r="N182" s="48" t="s">
        <v>56</v>
      </c>
      <c r="O182" s="48" t="s">
        <v>69</v>
      </c>
      <c r="P182" s="43"/>
      <c r="Q182" s="43"/>
      <c r="R182" s="43"/>
      <c r="S182" s="43"/>
      <c r="T182" s="43"/>
      <c r="U182" s="43"/>
      <c r="V182" s="43"/>
      <c r="W182" s="43"/>
      <c r="X182" s="43"/>
      <c r="Y182" s="43"/>
      <c r="Z182" s="43"/>
    </row>
    <row r="183" ht="14.25" customHeight="1">
      <c r="A183" s="46">
        <v>20342.0</v>
      </c>
      <c r="B183" s="44">
        <v>45827.0</v>
      </c>
      <c r="C183" s="46" t="s">
        <v>66</v>
      </c>
      <c r="D183" s="46" t="s">
        <v>46</v>
      </c>
      <c r="E183" s="46" t="s">
        <v>26</v>
      </c>
      <c r="F183" s="46" t="s">
        <v>70</v>
      </c>
      <c r="G183" s="46">
        <v>4.0</v>
      </c>
      <c r="H183" s="47">
        <v>507.0</v>
      </c>
      <c r="I183" s="47">
        <v>2028.0</v>
      </c>
      <c r="J183" s="46">
        <v>5.0</v>
      </c>
      <c r="K183" s="47">
        <v>101.0</v>
      </c>
      <c r="L183" s="47">
        <v>1927.0</v>
      </c>
      <c r="M183" s="46" t="s">
        <v>49</v>
      </c>
      <c r="N183" s="46" t="s">
        <v>43</v>
      </c>
      <c r="O183" s="46" t="s">
        <v>69</v>
      </c>
      <c r="P183" s="43"/>
      <c r="Q183" s="43"/>
      <c r="R183" s="43"/>
      <c r="S183" s="43"/>
      <c r="T183" s="43"/>
      <c r="U183" s="43"/>
      <c r="V183" s="43"/>
      <c r="W183" s="43"/>
      <c r="X183" s="43"/>
      <c r="Y183" s="43"/>
      <c r="Z183" s="43"/>
    </row>
    <row r="184" ht="14.25" customHeight="1">
      <c r="A184" s="46">
        <v>20030.0</v>
      </c>
      <c r="B184" s="44">
        <v>45828.0</v>
      </c>
      <c r="C184" s="46" t="s">
        <v>76</v>
      </c>
      <c r="D184" s="46" t="s">
        <v>64</v>
      </c>
      <c r="E184" s="46" t="s">
        <v>53</v>
      </c>
      <c r="F184" s="46" t="s">
        <v>75</v>
      </c>
      <c r="G184" s="46">
        <v>12.0</v>
      </c>
      <c r="H184" s="47">
        <v>1744.0</v>
      </c>
      <c r="I184" s="47">
        <v>20928.0</v>
      </c>
      <c r="J184" s="46">
        <v>0.0</v>
      </c>
      <c r="K184" s="47">
        <v>0.0</v>
      </c>
      <c r="L184" s="47">
        <v>20928.0</v>
      </c>
      <c r="M184" s="46" t="s">
        <v>71</v>
      </c>
      <c r="N184" s="46" t="s">
        <v>62</v>
      </c>
      <c r="O184" s="46" t="s">
        <v>57</v>
      </c>
      <c r="P184" s="43"/>
      <c r="Q184" s="43"/>
      <c r="R184" s="43"/>
      <c r="S184" s="43"/>
      <c r="T184" s="43"/>
      <c r="U184" s="43"/>
      <c r="V184" s="43"/>
      <c r="W184" s="43"/>
      <c r="X184" s="43"/>
      <c r="Y184" s="43"/>
      <c r="Z184" s="43"/>
    </row>
    <row r="185" ht="14.25" customHeight="1">
      <c r="A185" s="46">
        <v>20074.0</v>
      </c>
      <c r="B185" s="44">
        <v>45828.0</v>
      </c>
      <c r="C185" s="46" t="s">
        <v>84</v>
      </c>
      <c r="D185" s="46" t="s">
        <v>46</v>
      </c>
      <c r="E185" s="46" t="s">
        <v>26</v>
      </c>
      <c r="F185" s="46" t="s">
        <v>100</v>
      </c>
      <c r="G185" s="46">
        <v>6.0</v>
      </c>
      <c r="H185" s="47">
        <v>541.0</v>
      </c>
      <c r="I185" s="47">
        <v>3246.0</v>
      </c>
      <c r="J185" s="46">
        <v>20.0</v>
      </c>
      <c r="K185" s="47">
        <v>649.0</v>
      </c>
      <c r="L185" s="47">
        <v>2597.0</v>
      </c>
      <c r="M185" s="46" t="s">
        <v>87</v>
      </c>
      <c r="N185" s="46" t="s">
        <v>62</v>
      </c>
      <c r="O185" s="46" t="s">
        <v>44</v>
      </c>
      <c r="P185" s="43"/>
      <c r="Q185" s="43"/>
      <c r="R185" s="43"/>
      <c r="S185" s="43"/>
      <c r="T185" s="43"/>
      <c r="U185" s="43"/>
      <c r="V185" s="43"/>
      <c r="W185" s="43"/>
      <c r="X185" s="43"/>
      <c r="Y185" s="43"/>
      <c r="Z185" s="43"/>
    </row>
    <row r="186" ht="14.25" customHeight="1">
      <c r="A186" s="48">
        <v>20323.0</v>
      </c>
      <c r="B186" s="44">
        <v>45828.0</v>
      </c>
      <c r="C186" s="48" t="s">
        <v>80</v>
      </c>
      <c r="D186" s="48" t="s">
        <v>64</v>
      </c>
      <c r="E186" s="48" t="s">
        <v>53</v>
      </c>
      <c r="F186" s="48" t="s">
        <v>98</v>
      </c>
      <c r="G186" s="48">
        <v>1.0</v>
      </c>
      <c r="H186" s="49">
        <v>859.0</v>
      </c>
      <c r="I186" s="49">
        <v>859.0</v>
      </c>
      <c r="J186" s="48">
        <v>10.0</v>
      </c>
      <c r="K186" s="49">
        <v>86.0</v>
      </c>
      <c r="L186" s="49">
        <v>773.0</v>
      </c>
      <c r="M186" s="48" t="s">
        <v>68</v>
      </c>
      <c r="N186" s="48" t="s">
        <v>43</v>
      </c>
      <c r="O186" s="48" t="s">
        <v>69</v>
      </c>
      <c r="P186" s="43"/>
      <c r="Q186" s="43"/>
      <c r="R186" s="43"/>
      <c r="S186" s="43"/>
      <c r="T186" s="43"/>
      <c r="U186" s="43"/>
      <c r="V186" s="43"/>
      <c r="W186" s="43"/>
      <c r="X186" s="43"/>
      <c r="Y186" s="43"/>
      <c r="Z186" s="43"/>
    </row>
    <row r="187" ht="14.25" customHeight="1">
      <c r="A187" s="48">
        <v>20415.0</v>
      </c>
      <c r="B187" s="44">
        <v>45829.0</v>
      </c>
      <c r="C187" s="48" t="s">
        <v>66</v>
      </c>
      <c r="D187" s="48" t="s">
        <v>46</v>
      </c>
      <c r="E187" s="48" t="s">
        <v>53</v>
      </c>
      <c r="F187" s="48" t="s">
        <v>95</v>
      </c>
      <c r="G187" s="48">
        <v>9.0</v>
      </c>
      <c r="H187" s="49">
        <v>339.0</v>
      </c>
      <c r="I187" s="49">
        <v>3051.0</v>
      </c>
      <c r="J187" s="48">
        <v>0.0</v>
      </c>
      <c r="K187" s="49">
        <v>0.0</v>
      </c>
      <c r="L187" s="49">
        <v>3051.0</v>
      </c>
      <c r="M187" s="48" t="s">
        <v>49</v>
      </c>
      <c r="N187" s="48" t="s">
        <v>50</v>
      </c>
      <c r="O187" s="48" t="s">
        <v>57</v>
      </c>
      <c r="P187" s="43"/>
      <c r="Q187" s="43"/>
      <c r="R187" s="43"/>
      <c r="S187" s="43"/>
      <c r="T187" s="43"/>
      <c r="U187" s="43"/>
      <c r="V187" s="43"/>
      <c r="W187" s="43"/>
      <c r="X187" s="43"/>
      <c r="Y187" s="43"/>
      <c r="Z187" s="43"/>
    </row>
    <row r="188" ht="14.25" customHeight="1">
      <c r="A188" s="46">
        <v>20288.0</v>
      </c>
      <c r="B188" s="44">
        <v>45830.0</v>
      </c>
      <c r="C188" s="46" t="s">
        <v>89</v>
      </c>
      <c r="D188" s="46" t="s">
        <v>46</v>
      </c>
      <c r="E188" s="46" t="s">
        <v>53</v>
      </c>
      <c r="F188" s="46" t="s">
        <v>75</v>
      </c>
      <c r="G188" s="46">
        <v>3.0</v>
      </c>
      <c r="H188" s="47">
        <v>1608.0</v>
      </c>
      <c r="I188" s="47">
        <v>4824.0</v>
      </c>
      <c r="J188" s="46">
        <v>0.0</v>
      </c>
      <c r="K188" s="47">
        <v>0.0</v>
      </c>
      <c r="L188" s="47">
        <v>4824.0</v>
      </c>
      <c r="M188" s="46" t="s">
        <v>87</v>
      </c>
      <c r="N188" s="46" t="s">
        <v>56</v>
      </c>
      <c r="O188" s="46" t="s">
        <v>44</v>
      </c>
      <c r="P188" s="43"/>
      <c r="Q188" s="43"/>
      <c r="R188" s="43"/>
      <c r="S188" s="43"/>
      <c r="T188" s="43"/>
      <c r="U188" s="43"/>
      <c r="V188" s="43"/>
      <c r="W188" s="43"/>
      <c r="X188" s="43"/>
      <c r="Y188" s="43"/>
      <c r="Z188" s="43"/>
    </row>
    <row r="189" ht="14.25" customHeight="1">
      <c r="A189" s="46">
        <v>20316.0</v>
      </c>
      <c r="B189" s="44">
        <v>45830.0</v>
      </c>
      <c r="C189" s="46" t="s">
        <v>66</v>
      </c>
      <c r="D189" s="46" t="s">
        <v>46</v>
      </c>
      <c r="E189" s="46" t="s">
        <v>53</v>
      </c>
      <c r="F189" s="46" t="s">
        <v>95</v>
      </c>
      <c r="G189" s="46">
        <v>5.0</v>
      </c>
      <c r="H189" s="47">
        <v>606.0</v>
      </c>
      <c r="I189" s="47">
        <v>3030.0</v>
      </c>
      <c r="J189" s="46">
        <v>0.0</v>
      </c>
      <c r="K189" s="47">
        <v>0.0</v>
      </c>
      <c r="L189" s="47">
        <v>3030.0</v>
      </c>
      <c r="M189" s="46" t="s">
        <v>49</v>
      </c>
      <c r="N189" s="46" t="s">
        <v>43</v>
      </c>
      <c r="O189" s="46" t="s">
        <v>57</v>
      </c>
      <c r="P189" s="43"/>
      <c r="Q189" s="43"/>
      <c r="R189" s="43"/>
      <c r="S189" s="43"/>
      <c r="T189" s="43"/>
      <c r="U189" s="43"/>
      <c r="V189" s="43"/>
      <c r="W189" s="43"/>
      <c r="X189" s="43"/>
      <c r="Y189" s="43"/>
      <c r="Z189" s="43"/>
    </row>
    <row r="190" ht="14.25" customHeight="1">
      <c r="A190" s="48">
        <v>20295.0</v>
      </c>
      <c r="B190" s="44">
        <v>45831.0</v>
      </c>
      <c r="C190" s="48" t="s">
        <v>82</v>
      </c>
      <c r="D190" s="48" t="s">
        <v>52</v>
      </c>
      <c r="E190" s="48" t="s">
        <v>26</v>
      </c>
      <c r="F190" s="48" t="s">
        <v>111</v>
      </c>
      <c r="G190" s="48">
        <v>11.0</v>
      </c>
      <c r="H190" s="49">
        <v>288.0</v>
      </c>
      <c r="I190" s="49">
        <v>3168.0</v>
      </c>
      <c r="J190" s="48">
        <v>0.0</v>
      </c>
      <c r="K190" s="49">
        <v>0.0</v>
      </c>
      <c r="L190" s="49">
        <v>3168.0</v>
      </c>
      <c r="M190" s="48" t="s">
        <v>55</v>
      </c>
      <c r="N190" s="48" t="s">
        <v>50</v>
      </c>
      <c r="O190" s="48" t="s">
        <v>69</v>
      </c>
      <c r="P190" s="43"/>
      <c r="Q190" s="43"/>
      <c r="R190" s="43"/>
      <c r="S190" s="43"/>
      <c r="T190" s="43"/>
      <c r="U190" s="43"/>
      <c r="V190" s="43"/>
      <c r="W190" s="43"/>
      <c r="X190" s="43"/>
      <c r="Y190" s="43"/>
      <c r="Z190" s="43"/>
    </row>
    <row r="191" ht="14.25" customHeight="1">
      <c r="A191" s="46">
        <v>20080.0</v>
      </c>
      <c r="B191" s="44">
        <v>45832.0</v>
      </c>
      <c r="C191" s="46" t="s">
        <v>66</v>
      </c>
      <c r="D191" s="46" t="s">
        <v>46</v>
      </c>
      <c r="E191" s="46" t="s">
        <v>26</v>
      </c>
      <c r="F191" s="46" t="s">
        <v>74</v>
      </c>
      <c r="G191" s="46">
        <v>12.0</v>
      </c>
      <c r="H191" s="47">
        <v>425.0</v>
      </c>
      <c r="I191" s="47">
        <v>5100.0</v>
      </c>
      <c r="J191" s="46">
        <v>20.0</v>
      </c>
      <c r="K191" s="47">
        <v>1020.0</v>
      </c>
      <c r="L191" s="47">
        <v>4080.0</v>
      </c>
      <c r="M191" s="46" t="s">
        <v>68</v>
      </c>
      <c r="N191" s="46" t="s">
        <v>43</v>
      </c>
      <c r="O191" s="46" t="s">
        <v>57</v>
      </c>
      <c r="P191" s="43"/>
      <c r="Q191" s="43"/>
      <c r="R191" s="43"/>
      <c r="S191" s="43"/>
      <c r="T191" s="43"/>
      <c r="U191" s="43"/>
      <c r="V191" s="43"/>
      <c r="W191" s="43"/>
      <c r="X191" s="43"/>
      <c r="Y191" s="43"/>
      <c r="Z191" s="43"/>
    </row>
    <row r="192" ht="14.25" customHeight="1">
      <c r="A192" s="48">
        <v>20029.0</v>
      </c>
      <c r="B192" s="44">
        <v>45833.0</v>
      </c>
      <c r="C192" s="48" t="s">
        <v>99</v>
      </c>
      <c r="D192" s="48" t="s">
        <v>64</v>
      </c>
      <c r="E192" s="48" t="s">
        <v>53</v>
      </c>
      <c r="F192" s="48" t="s">
        <v>54</v>
      </c>
      <c r="G192" s="48">
        <v>8.0</v>
      </c>
      <c r="H192" s="49">
        <v>403.0</v>
      </c>
      <c r="I192" s="49">
        <v>3224.0</v>
      </c>
      <c r="J192" s="48">
        <v>20.0</v>
      </c>
      <c r="K192" s="49">
        <v>645.0</v>
      </c>
      <c r="L192" s="49">
        <v>2579.0</v>
      </c>
      <c r="M192" s="48" t="s">
        <v>96</v>
      </c>
      <c r="N192" s="48" t="s">
        <v>62</v>
      </c>
      <c r="O192" s="48" t="s">
        <v>69</v>
      </c>
      <c r="P192" s="43"/>
      <c r="Q192" s="43"/>
      <c r="R192" s="43"/>
      <c r="S192" s="43"/>
      <c r="T192" s="43"/>
      <c r="U192" s="43"/>
      <c r="V192" s="43"/>
      <c r="W192" s="43"/>
      <c r="X192" s="43"/>
      <c r="Y192" s="43"/>
      <c r="Z192" s="43"/>
    </row>
    <row r="193" ht="14.25" customHeight="1">
      <c r="A193" s="48">
        <v>20125.0</v>
      </c>
      <c r="B193" s="44">
        <v>45833.0</v>
      </c>
      <c r="C193" s="48" t="s">
        <v>92</v>
      </c>
      <c r="D193" s="48" t="s">
        <v>25</v>
      </c>
      <c r="E193" s="48" t="s">
        <v>47</v>
      </c>
      <c r="F193" s="48" t="s">
        <v>65</v>
      </c>
      <c r="G193" s="48">
        <v>1.0</v>
      </c>
      <c r="H193" s="49">
        <v>2345.0</v>
      </c>
      <c r="I193" s="49">
        <v>2345.0</v>
      </c>
      <c r="J193" s="48">
        <v>10.0</v>
      </c>
      <c r="K193" s="49">
        <v>234.0</v>
      </c>
      <c r="L193" s="49">
        <v>2111.0</v>
      </c>
      <c r="M193" s="48" t="s">
        <v>49</v>
      </c>
      <c r="N193" s="48" t="s">
        <v>50</v>
      </c>
      <c r="O193" s="48" t="s">
        <v>44</v>
      </c>
      <c r="P193" s="43"/>
      <c r="Q193" s="43"/>
      <c r="R193" s="43"/>
      <c r="S193" s="43"/>
      <c r="T193" s="43"/>
      <c r="U193" s="43"/>
      <c r="V193" s="43"/>
      <c r="W193" s="43"/>
      <c r="X193" s="43"/>
      <c r="Y193" s="43"/>
      <c r="Z193" s="43"/>
    </row>
    <row r="194" ht="14.25" customHeight="1">
      <c r="A194" s="48">
        <v>20173.0</v>
      </c>
      <c r="B194" s="44">
        <v>45833.0</v>
      </c>
      <c r="C194" s="48" t="s">
        <v>45</v>
      </c>
      <c r="D194" s="48" t="s">
        <v>46</v>
      </c>
      <c r="E194" s="48" t="s">
        <v>53</v>
      </c>
      <c r="F194" s="48" t="s">
        <v>54</v>
      </c>
      <c r="G194" s="48">
        <v>8.0</v>
      </c>
      <c r="H194" s="49">
        <v>870.0</v>
      </c>
      <c r="I194" s="49">
        <v>6960.0</v>
      </c>
      <c r="J194" s="48">
        <v>0.0</v>
      </c>
      <c r="K194" s="49">
        <v>0.0</v>
      </c>
      <c r="L194" s="49">
        <v>6960.0</v>
      </c>
      <c r="M194" s="48" t="s">
        <v>96</v>
      </c>
      <c r="N194" s="48" t="s">
        <v>72</v>
      </c>
      <c r="O194" s="48" t="s">
        <v>57</v>
      </c>
      <c r="P194" s="43"/>
      <c r="Q194" s="43"/>
      <c r="R194" s="43"/>
      <c r="S194" s="43"/>
      <c r="T194" s="43"/>
      <c r="U194" s="43"/>
      <c r="V194" s="43"/>
      <c r="W194" s="43"/>
      <c r="X194" s="43"/>
      <c r="Y194" s="43"/>
      <c r="Z194" s="43"/>
    </row>
    <row r="195" ht="14.25" customHeight="1">
      <c r="A195" s="48">
        <v>20229.0</v>
      </c>
      <c r="B195" s="44">
        <v>45833.0</v>
      </c>
      <c r="C195" s="48" t="s">
        <v>73</v>
      </c>
      <c r="D195" s="48" t="s">
        <v>52</v>
      </c>
      <c r="E195" s="48" t="s">
        <v>77</v>
      </c>
      <c r="F195" s="48" t="s">
        <v>88</v>
      </c>
      <c r="G195" s="48">
        <v>8.0</v>
      </c>
      <c r="H195" s="49">
        <v>4800.0</v>
      </c>
      <c r="I195" s="49">
        <v>38400.0</v>
      </c>
      <c r="J195" s="48">
        <v>0.0</v>
      </c>
      <c r="K195" s="49">
        <v>0.0</v>
      </c>
      <c r="L195" s="49">
        <v>38400.0</v>
      </c>
      <c r="M195" s="48" t="s">
        <v>71</v>
      </c>
      <c r="N195" s="48" t="s">
        <v>72</v>
      </c>
      <c r="O195" s="48" t="s">
        <v>69</v>
      </c>
      <c r="P195" s="43"/>
      <c r="Q195" s="43"/>
      <c r="R195" s="43"/>
      <c r="S195" s="43"/>
      <c r="T195" s="43"/>
      <c r="U195" s="43"/>
      <c r="V195" s="43"/>
      <c r="W195" s="43"/>
      <c r="X195" s="43"/>
      <c r="Y195" s="43"/>
      <c r="Z195" s="43"/>
    </row>
    <row r="196" ht="14.25" customHeight="1">
      <c r="A196" s="46">
        <v>20418.0</v>
      </c>
      <c r="B196" s="44">
        <v>45833.0</v>
      </c>
      <c r="C196" s="46" t="s">
        <v>63</v>
      </c>
      <c r="D196" s="46" t="s">
        <v>64</v>
      </c>
      <c r="E196" s="46" t="s">
        <v>53</v>
      </c>
      <c r="F196" s="46" t="s">
        <v>95</v>
      </c>
      <c r="G196" s="46">
        <v>11.0</v>
      </c>
      <c r="H196" s="47">
        <v>846.0</v>
      </c>
      <c r="I196" s="47">
        <v>9306.0</v>
      </c>
      <c r="J196" s="46">
        <v>0.0</v>
      </c>
      <c r="K196" s="47">
        <v>0.0</v>
      </c>
      <c r="L196" s="47">
        <v>9306.0</v>
      </c>
      <c r="M196" s="46" t="s">
        <v>42</v>
      </c>
      <c r="N196" s="46" t="s">
        <v>72</v>
      </c>
      <c r="O196" s="46" t="s">
        <v>57</v>
      </c>
      <c r="P196" s="43"/>
      <c r="Q196" s="43"/>
      <c r="R196" s="43"/>
      <c r="S196" s="43"/>
      <c r="T196" s="43"/>
      <c r="U196" s="43"/>
      <c r="V196" s="43"/>
      <c r="W196" s="43"/>
      <c r="X196" s="43"/>
      <c r="Y196" s="43"/>
      <c r="Z196" s="43"/>
    </row>
    <row r="197" ht="14.25" customHeight="1">
      <c r="A197" s="46">
        <v>20300.0</v>
      </c>
      <c r="B197" s="44">
        <v>45834.0</v>
      </c>
      <c r="C197" s="46" t="s">
        <v>24</v>
      </c>
      <c r="D197" s="46" t="s">
        <v>52</v>
      </c>
      <c r="E197" s="46" t="s">
        <v>47</v>
      </c>
      <c r="F197" s="46" t="s">
        <v>65</v>
      </c>
      <c r="G197" s="46">
        <v>9.0</v>
      </c>
      <c r="H197" s="47">
        <v>1913.0</v>
      </c>
      <c r="I197" s="47">
        <v>17217.0</v>
      </c>
      <c r="J197" s="46">
        <v>10.0</v>
      </c>
      <c r="K197" s="47">
        <v>1722.0</v>
      </c>
      <c r="L197" s="47">
        <v>15495.0</v>
      </c>
      <c r="M197" s="46" t="s">
        <v>42</v>
      </c>
      <c r="N197" s="46" t="s">
        <v>56</v>
      </c>
      <c r="O197" s="46" t="s">
        <v>69</v>
      </c>
      <c r="P197" s="43"/>
      <c r="Q197" s="43"/>
      <c r="R197" s="43"/>
      <c r="S197" s="43"/>
      <c r="T197" s="43"/>
      <c r="U197" s="43"/>
      <c r="V197" s="43"/>
      <c r="W197" s="43"/>
      <c r="X197" s="43"/>
      <c r="Y197" s="43"/>
      <c r="Z197" s="43"/>
    </row>
    <row r="198" ht="14.25" customHeight="1">
      <c r="A198" s="48">
        <v>20291.0</v>
      </c>
      <c r="B198" s="44">
        <v>45835.0</v>
      </c>
      <c r="C198" s="48" t="s">
        <v>84</v>
      </c>
      <c r="D198" s="48" t="s">
        <v>46</v>
      </c>
      <c r="E198" s="48" t="s">
        <v>77</v>
      </c>
      <c r="F198" s="48" t="s">
        <v>105</v>
      </c>
      <c r="G198" s="48">
        <v>15.0</v>
      </c>
      <c r="H198" s="49">
        <v>7631.0</v>
      </c>
      <c r="I198" s="49">
        <v>114465.0</v>
      </c>
      <c r="J198" s="48">
        <v>5.0</v>
      </c>
      <c r="K198" s="49">
        <v>5723.0</v>
      </c>
      <c r="L198" s="49">
        <v>108742.0</v>
      </c>
      <c r="M198" s="48" t="s">
        <v>81</v>
      </c>
      <c r="N198" s="48" t="s">
        <v>72</v>
      </c>
      <c r="O198" s="48" t="s">
        <v>69</v>
      </c>
      <c r="P198" s="43"/>
      <c r="Q198" s="43"/>
      <c r="R198" s="43"/>
      <c r="S198" s="43"/>
      <c r="T198" s="43"/>
      <c r="U198" s="43"/>
      <c r="V198" s="43"/>
      <c r="W198" s="43"/>
      <c r="X198" s="43"/>
      <c r="Y198" s="43"/>
      <c r="Z198" s="43"/>
    </row>
    <row r="199" ht="14.25" customHeight="1">
      <c r="A199" s="48">
        <v>20241.0</v>
      </c>
      <c r="B199" s="44">
        <v>45836.0</v>
      </c>
      <c r="C199" s="48" t="s">
        <v>92</v>
      </c>
      <c r="D199" s="48" t="s">
        <v>25</v>
      </c>
      <c r="E199" s="48" t="s">
        <v>59</v>
      </c>
      <c r="F199" s="48" t="s">
        <v>79</v>
      </c>
      <c r="G199" s="48">
        <v>13.0</v>
      </c>
      <c r="H199" s="49">
        <v>361.0</v>
      </c>
      <c r="I199" s="49">
        <v>4693.0</v>
      </c>
      <c r="J199" s="48">
        <v>20.0</v>
      </c>
      <c r="K199" s="49">
        <v>939.0</v>
      </c>
      <c r="L199" s="49">
        <v>3754.0</v>
      </c>
      <c r="M199" s="48" t="s">
        <v>49</v>
      </c>
      <c r="N199" s="48" t="s">
        <v>43</v>
      </c>
      <c r="O199" s="48" t="s">
        <v>69</v>
      </c>
      <c r="P199" s="43"/>
      <c r="Q199" s="43"/>
      <c r="R199" s="43"/>
      <c r="S199" s="43"/>
      <c r="T199" s="43"/>
      <c r="U199" s="43"/>
      <c r="V199" s="43"/>
      <c r="W199" s="43"/>
      <c r="X199" s="43"/>
      <c r="Y199" s="43"/>
      <c r="Z199" s="43"/>
    </row>
    <row r="200" ht="14.25" customHeight="1">
      <c r="A200" s="46">
        <v>20360.0</v>
      </c>
      <c r="B200" s="44">
        <v>45836.0</v>
      </c>
      <c r="C200" s="46" t="s">
        <v>63</v>
      </c>
      <c r="D200" s="46" t="s">
        <v>64</v>
      </c>
      <c r="E200" s="46" t="s">
        <v>77</v>
      </c>
      <c r="F200" s="46" t="s">
        <v>105</v>
      </c>
      <c r="G200" s="46">
        <v>6.0</v>
      </c>
      <c r="H200" s="47">
        <v>3855.0</v>
      </c>
      <c r="I200" s="47">
        <v>23130.0</v>
      </c>
      <c r="J200" s="46">
        <v>5.0</v>
      </c>
      <c r="K200" s="47">
        <v>1156.0</v>
      </c>
      <c r="L200" s="47">
        <v>21974.0</v>
      </c>
      <c r="M200" s="46" t="s">
        <v>87</v>
      </c>
      <c r="N200" s="46" t="s">
        <v>62</v>
      </c>
      <c r="O200" s="46" t="s">
        <v>69</v>
      </c>
      <c r="P200" s="43"/>
      <c r="Q200" s="43"/>
      <c r="R200" s="43"/>
      <c r="S200" s="43"/>
      <c r="T200" s="43"/>
      <c r="U200" s="43"/>
      <c r="V200" s="43"/>
      <c r="W200" s="43"/>
      <c r="X200" s="43"/>
      <c r="Y200" s="43"/>
      <c r="Z200" s="43"/>
    </row>
    <row r="201" ht="14.25" customHeight="1">
      <c r="A201" s="48">
        <v>20091.0</v>
      </c>
      <c r="B201" s="44">
        <v>45838.0</v>
      </c>
      <c r="C201" s="48" t="s">
        <v>63</v>
      </c>
      <c r="D201" s="48" t="s">
        <v>64</v>
      </c>
      <c r="E201" s="48" t="s">
        <v>77</v>
      </c>
      <c r="F201" s="48" t="s">
        <v>88</v>
      </c>
      <c r="G201" s="48">
        <v>5.0</v>
      </c>
      <c r="H201" s="49">
        <v>6046.0</v>
      </c>
      <c r="I201" s="49">
        <v>30230.0</v>
      </c>
      <c r="J201" s="48">
        <v>0.0</v>
      </c>
      <c r="K201" s="49">
        <v>0.0</v>
      </c>
      <c r="L201" s="49">
        <v>30230.0</v>
      </c>
      <c r="M201" s="48" t="s">
        <v>42</v>
      </c>
      <c r="N201" s="48" t="s">
        <v>62</v>
      </c>
      <c r="O201" s="48" t="s">
        <v>57</v>
      </c>
      <c r="P201" s="43"/>
      <c r="Q201" s="43"/>
      <c r="R201" s="43"/>
      <c r="S201" s="43"/>
      <c r="T201" s="43"/>
      <c r="U201" s="43"/>
      <c r="V201" s="43"/>
      <c r="W201" s="43"/>
      <c r="X201" s="43"/>
      <c r="Y201" s="43"/>
      <c r="Z201" s="43"/>
    </row>
    <row r="202" ht="14.25" customHeight="1">
      <c r="A202" s="48">
        <v>20139.0</v>
      </c>
      <c r="B202" s="44">
        <v>45838.0</v>
      </c>
      <c r="C202" s="48" t="s">
        <v>63</v>
      </c>
      <c r="D202" s="48" t="s">
        <v>64</v>
      </c>
      <c r="E202" s="48" t="s">
        <v>47</v>
      </c>
      <c r="F202" s="48" t="s">
        <v>27</v>
      </c>
      <c r="G202" s="48">
        <v>3.0</v>
      </c>
      <c r="H202" s="49">
        <v>2353.0</v>
      </c>
      <c r="I202" s="49">
        <v>7059.0</v>
      </c>
      <c r="J202" s="48">
        <v>10.0</v>
      </c>
      <c r="K202" s="49">
        <v>706.0</v>
      </c>
      <c r="L202" s="49">
        <v>6353.0</v>
      </c>
      <c r="M202" s="48" t="s">
        <v>87</v>
      </c>
      <c r="N202" s="48" t="s">
        <v>56</v>
      </c>
      <c r="O202" s="48" t="s">
        <v>57</v>
      </c>
      <c r="P202" s="43"/>
      <c r="Q202" s="43"/>
      <c r="R202" s="43"/>
      <c r="S202" s="43"/>
      <c r="T202" s="43"/>
      <c r="U202" s="43"/>
      <c r="V202" s="43"/>
      <c r="W202" s="43"/>
      <c r="X202" s="43"/>
      <c r="Y202" s="43"/>
      <c r="Z202" s="43"/>
    </row>
    <row r="203" ht="14.25" customHeight="1">
      <c r="A203" s="46">
        <v>20284.0</v>
      </c>
      <c r="B203" s="44">
        <v>45839.0</v>
      </c>
      <c r="C203" s="46" t="s">
        <v>80</v>
      </c>
      <c r="D203" s="46" t="s">
        <v>64</v>
      </c>
      <c r="E203" s="46" t="s">
        <v>77</v>
      </c>
      <c r="F203" s="46" t="s">
        <v>78</v>
      </c>
      <c r="G203" s="46">
        <v>10.0</v>
      </c>
      <c r="H203" s="47">
        <v>7504.0</v>
      </c>
      <c r="I203" s="47">
        <v>75040.0</v>
      </c>
      <c r="J203" s="46">
        <v>10.0</v>
      </c>
      <c r="K203" s="47">
        <v>7504.0</v>
      </c>
      <c r="L203" s="47">
        <v>67536.0</v>
      </c>
      <c r="M203" s="46" t="s">
        <v>81</v>
      </c>
      <c r="N203" s="46" t="s">
        <v>72</v>
      </c>
      <c r="O203" s="46" t="s">
        <v>57</v>
      </c>
      <c r="P203" s="43"/>
      <c r="Q203" s="43"/>
      <c r="R203" s="43"/>
      <c r="S203" s="43"/>
      <c r="T203" s="43"/>
      <c r="U203" s="43"/>
      <c r="V203" s="43"/>
      <c r="W203" s="43"/>
      <c r="X203" s="43"/>
      <c r="Y203" s="43"/>
      <c r="Z203" s="43"/>
    </row>
    <row r="204" ht="14.25" customHeight="1">
      <c r="A204" s="46">
        <v>20274.0</v>
      </c>
      <c r="B204" s="44">
        <v>45841.0</v>
      </c>
      <c r="C204" s="46" t="s">
        <v>99</v>
      </c>
      <c r="D204" s="46" t="s">
        <v>64</v>
      </c>
      <c r="E204" s="46" t="s">
        <v>59</v>
      </c>
      <c r="F204" s="46" t="s">
        <v>85</v>
      </c>
      <c r="G204" s="46">
        <v>8.0</v>
      </c>
      <c r="H204" s="47">
        <v>106.0</v>
      </c>
      <c r="I204" s="47">
        <v>848.0</v>
      </c>
      <c r="J204" s="46">
        <v>20.0</v>
      </c>
      <c r="K204" s="47">
        <v>170.0</v>
      </c>
      <c r="L204" s="47">
        <v>678.0</v>
      </c>
      <c r="M204" s="46" t="s">
        <v>96</v>
      </c>
      <c r="N204" s="46" t="s">
        <v>56</v>
      </c>
      <c r="O204" s="46" t="s">
        <v>69</v>
      </c>
      <c r="P204" s="43"/>
      <c r="Q204" s="43"/>
      <c r="R204" s="43"/>
      <c r="S204" s="43"/>
      <c r="T204" s="43"/>
      <c r="U204" s="43"/>
      <c r="V204" s="43"/>
      <c r="W204" s="43"/>
      <c r="X204" s="43"/>
      <c r="Y204" s="43"/>
      <c r="Z204" s="43"/>
    </row>
    <row r="205" ht="14.25" customHeight="1">
      <c r="A205" s="46">
        <v>20332.0</v>
      </c>
      <c r="B205" s="44">
        <v>45841.0</v>
      </c>
      <c r="C205" s="46" t="s">
        <v>24</v>
      </c>
      <c r="D205" s="46" t="s">
        <v>52</v>
      </c>
      <c r="E205" s="46" t="s">
        <v>53</v>
      </c>
      <c r="F205" s="46" t="s">
        <v>75</v>
      </c>
      <c r="G205" s="46">
        <v>1.0</v>
      </c>
      <c r="H205" s="47">
        <v>724.0</v>
      </c>
      <c r="I205" s="47">
        <v>724.0</v>
      </c>
      <c r="J205" s="46">
        <v>0.0</v>
      </c>
      <c r="K205" s="47">
        <v>0.0</v>
      </c>
      <c r="L205" s="47">
        <v>724.0</v>
      </c>
      <c r="M205" s="46" t="s">
        <v>106</v>
      </c>
      <c r="N205" s="46" t="s">
        <v>62</v>
      </c>
      <c r="O205" s="46" t="s">
        <v>69</v>
      </c>
      <c r="P205" s="43"/>
      <c r="Q205" s="43"/>
      <c r="R205" s="43"/>
      <c r="S205" s="43"/>
      <c r="T205" s="43"/>
      <c r="U205" s="43"/>
      <c r="V205" s="43"/>
      <c r="W205" s="43"/>
      <c r="X205" s="43"/>
      <c r="Y205" s="43"/>
      <c r="Z205" s="43"/>
    </row>
    <row r="206" ht="14.25" customHeight="1">
      <c r="A206" s="48">
        <v>20249.0</v>
      </c>
      <c r="B206" s="44">
        <v>45842.0</v>
      </c>
      <c r="C206" s="48" t="s">
        <v>66</v>
      </c>
      <c r="D206" s="48" t="s">
        <v>46</v>
      </c>
      <c r="E206" s="48" t="s">
        <v>26</v>
      </c>
      <c r="F206" s="48" t="s">
        <v>74</v>
      </c>
      <c r="G206" s="48">
        <v>11.0</v>
      </c>
      <c r="H206" s="49">
        <v>289.0</v>
      </c>
      <c r="I206" s="49">
        <v>3179.0</v>
      </c>
      <c r="J206" s="48">
        <v>15.0</v>
      </c>
      <c r="K206" s="49">
        <v>477.0</v>
      </c>
      <c r="L206" s="49">
        <v>2702.0</v>
      </c>
      <c r="M206" s="48" t="s">
        <v>106</v>
      </c>
      <c r="N206" s="48" t="s">
        <v>43</v>
      </c>
      <c r="O206" s="48" t="s">
        <v>57</v>
      </c>
      <c r="P206" s="43"/>
      <c r="Q206" s="43"/>
      <c r="R206" s="43"/>
      <c r="S206" s="43"/>
      <c r="T206" s="43"/>
      <c r="U206" s="43"/>
      <c r="V206" s="43"/>
      <c r="W206" s="43"/>
      <c r="X206" s="43"/>
      <c r="Y206" s="43"/>
      <c r="Z206" s="43"/>
    </row>
    <row r="207" ht="14.25" customHeight="1">
      <c r="A207" s="48">
        <v>20297.0</v>
      </c>
      <c r="B207" s="44">
        <v>45842.0</v>
      </c>
      <c r="C207" s="48" t="s">
        <v>97</v>
      </c>
      <c r="D207" s="48" t="s">
        <v>25</v>
      </c>
      <c r="E207" s="48" t="s">
        <v>59</v>
      </c>
      <c r="F207" s="48" t="s">
        <v>79</v>
      </c>
      <c r="G207" s="48">
        <v>5.0</v>
      </c>
      <c r="H207" s="49">
        <v>73.0</v>
      </c>
      <c r="I207" s="49">
        <v>365.0</v>
      </c>
      <c r="J207" s="48">
        <v>0.0</v>
      </c>
      <c r="K207" s="49">
        <v>0.0</v>
      </c>
      <c r="L207" s="49">
        <v>365.0</v>
      </c>
      <c r="M207" s="48" t="s">
        <v>96</v>
      </c>
      <c r="N207" s="48" t="s">
        <v>62</v>
      </c>
      <c r="O207" s="48" t="s">
        <v>44</v>
      </c>
      <c r="P207" s="43"/>
      <c r="Q207" s="43"/>
      <c r="R207" s="43"/>
      <c r="S207" s="43"/>
      <c r="T207" s="43"/>
      <c r="U207" s="43"/>
      <c r="V207" s="43"/>
      <c r="W207" s="43"/>
      <c r="X207" s="43"/>
      <c r="Y207" s="43"/>
      <c r="Z207" s="43"/>
    </row>
    <row r="208" ht="14.25" customHeight="1">
      <c r="A208" s="46">
        <v>20374.0</v>
      </c>
      <c r="B208" s="44">
        <v>45842.0</v>
      </c>
      <c r="C208" s="46" t="s">
        <v>76</v>
      </c>
      <c r="D208" s="46" t="s">
        <v>64</v>
      </c>
      <c r="E208" s="46" t="s">
        <v>53</v>
      </c>
      <c r="F208" s="46" t="s">
        <v>48</v>
      </c>
      <c r="G208" s="46">
        <v>8.0</v>
      </c>
      <c r="H208" s="47">
        <v>1885.0</v>
      </c>
      <c r="I208" s="47">
        <v>15080.0</v>
      </c>
      <c r="J208" s="46">
        <v>10.0</v>
      </c>
      <c r="K208" s="47">
        <v>1508.0</v>
      </c>
      <c r="L208" s="47">
        <v>13572.0</v>
      </c>
      <c r="M208" s="46" t="s">
        <v>71</v>
      </c>
      <c r="N208" s="46" t="s">
        <v>50</v>
      </c>
      <c r="O208" s="46" t="s">
        <v>57</v>
      </c>
      <c r="P208" s="43"/>
      <c r="Q208" s="43"/>
      <c r="R208" s="43"/>
      <c r="S208" s="43"/>
      <c r="T208" s="43"/>
      <c r="U208" s="43"/>
      <c r="V208" s="43"/>
      <c r="W208" s="43"/>
      <c r="X208" s="43"/>
      <c r="Y208" s="43"/>
      <c r="Z208" s="43"/>
    </row>
    <row r="209" ht="14.25" customHeight="1">
      <c r="A209" s="46">
        <v>20380.0</v>
      </c>
      <c r="B209" s="44">
        <v>45842.0</v>
      </c>
      <c r="C209" s="46" t="s">
        <v>51</v>
      </c>
      <c r="D209" s="46" t="s">
        <v>52</v>
      </c>
      <c r="E209" s="46" t="s">
        <v>59</v>
      </c>
      <c r="F209" s="46" t="s">
        <v>86</v>
      </c>
      <c r="G209" s="46">
        <v>15.0</v>
      </c>
      <c r="H209" s="47">
        <v>225.0</v>
      </c>
      <c r="I209" s="47">
        <v>3375.0</v>
      </c>
      <c r="J209" s="46">
        <v>15.0</v>
      </c>
      <c r="K209" s="47">
        <v>506.0</v>
      </c>
      <c r="L209" s="47">
        <v>2869.0</v>
      </c>
      <c r="M209" s="46" t="s">
        <v>87</v>
      </c>
      <c r="N209" s="46" t="s">
        <v>72</v>
      </c>
      <c r="O209" s="46" t="s">
        <v>57</v>
      </c>
      <c r="P209" s="43"/>
      <c r="Q209" s="43"/>
      <c r="R209" s="43"/>
      <c r="S209" s="43"/>
      <c r="T209" s="43"/>
      <c r="U209" s="43"/>
      <c r="V209" s="43"/>
      <c r="W209" s="43"/>
      <c r="X209" s="43"/>
      <c r="Y209" s="43"/>
      <c r="Z209" s="43"/>
    </row>
    <row r="210" ht="14.25" customHeight="1">
      <c r="A210" s="46">
        <v>20092.0</v>
      </c>
      <c r="B210" s="44">
        <v>45844.0</v>
      </c>
      <c r="C210" s="46" t="s">
        <v>76</v>
      </c>
      <c r="D210" s="46" t="s">
        <v>64</v>
      </c>
      <c r="E210" s="46" t="s">
        <v>26</v>
      </c>
      <c r="F210" s="46" t="s">
        <v>74</v>
      </c>
      <c r="G210" s="46">
        <v>6.0</v>
      </c>
      <c r="H210" s="47">
        <v>545.0</v>
      </c>
      <c r="I210" s="47">
        <v>3270.0</v>
      </c>
      <c r="J210" s="46">
        <v>0.0</v>
      </c>
      <c r="K210" s="47">
        <v>0.0</v>
      </c>
      <c r="L210" s="47">
        <v>3270.0</v>
      </c>
      <c r="M210" s="46" t="s">
        <v>87</v>
      </c>
      <c r="N210" s="46" t="s">
        <v>56</v>
      </c>
      <c r="O210" s="46" t="s">
        <v>44</v>
      </c>
      <c r="P210" s="43"/>
      <c r="Q210" s="43"/>
      <c r="R210" s="43"/>
      <c r="S210" s="43"/>
      <c r="T210" s="43"/>
      <c r="U210" s="43"/>
      <c r="V210" s="43"/>
      <c r="W210" s="43"/>
      <c r="X210" s="43"/>
      <c r="Y210" s="43"/>
      <c r="Z210" s="43"/>
    </row>
    <row r="211" ht="14.25" customHeight="1">
      <c r="A211" s="48">
        <v>20131.0</v>
      </c>
      <c r="B211" s="44">
        <v>45844.0</v>
      </c>
      <c r="C211" s="48" t="s">
        <v>63</v>
      </c>
      <c r="D211" s="48" t="s">
        <v>64</v>
      </c>
      <c r="E211" s="48" t="s">
        <v>59</v>
      </c>
      <c r="F211" s="48" t="s">
        <v>83</v>
      </c>
      <c r="G211" s="48">
        <v>5.0</v>
      </c>
      <c r="H211" s="49">
        <v>182.0</v>
      </c>
      <c r="I211" s="49">
        <v>910.0</v>
      </c>
      <c r="J211" s="48">
        <v>20.0</v>
      </c>
      <c r="K211" s="49">
        <v>182.0</v>
      </c>
      <c r="L211" s="49">
        <v>728.0</v>
      </c>
      <c r="M211" s="48" t="s">
        <v>42</v>
      </c>
      <c r="N211" s="48" t="s">
        <v>50</v>
      </c>
      <c r="O211" s="48" t="s">
        <v>44</v>
      </c>
      <c r="P211" s="43"/>
      <c r="Q211" s="43"/>
      <c r="R211" s="43"/>
      <c r="S211" s="43"/>
      <c r="T211" s="43"/>
      <c r="U211" s="43"/>
      <c r="V211" s="43"/>
      <c r="W211" s="43"/>
      <c r="X211" s="43"/>
      <c r="Y211" s="43"/>
      <c r="Z211" s="43"/>
    </row>
    <row r="212" ht="14.25" customHeight="1">
      <c r="A212" s="46">
        <v>20094.0</v>
      </c>
      <c r="B212" s="44">
        <v>45845.0</v>
      </c>
      <c r="C212" s="46" t="s">
        <v>92</v>
      </c>
      <c r="D212" s="46" t="s">
        <v>25</v>
      </c>
      <c r="E212" s="46" t="s">
        <v>59</v>
      </c>
      <c r="F212" s="46" t="s">
        <v>79</v>
      </c>
      <c r="G212" s="46">
        <v>5.0</v>
      </c>
      <c r="H212" s="47">
        <v>404.0</v>
      </c>
      <c r="I212" s="47">
        <v>2020.0</v>
      </c>
      <c r="J212" s="46">
        <v>10.0</v>
      </c>
      <c r="K212" s="47">
        <v>202.0</v>
      </c>
      <c r="L212" s="47">
        <v>1818.0</v>
      </c>
      <c r="M212" s="46" t="s">
        <v>61</v>
      </c>
      <c r="N212" s="46" t="s">
        <v>72</v>
      </c>
      <c r="O212" s="46" t="s">
        <v>69</v>
      </c>
      <c r="P212" s="43"/>
      <c r="Q212" s="43"/>
      <c r="R212" s="43"/>
      <c r="S212" s="43"/>
      <c r="T212" s="43"/>
      <c r="U212" s="43"/>
      <c r="V212" s="43"/>
      <c r="W212" s="43"/>
      <c r="X212" s="43"/>
      <c r="Y212" s="43"/>
      <c r="Z212" s="43"/>
    </row>
    <row r="213" ht="14.25" customHeight="1">
      <c r="A213" s="48">
        <v>20233.0</v>
      </c>
      <c r="B213" s="44">
        <v>45845.0</v>
      </c>
      <c r="C213" s="48" t="s">
        <v>84</v>
      </c>
      <c r="D213" s="48" t="s">
        <v>46</v>
      </c>
      <c r="E213" s="48" t="s">
        <v>77</v>
      </c>
      <c r="F213" s="48" t="s">
        <v>110</v>
      </c>
      <c r="G213" s="48">
        <v>2.0</v>
      </c>
      <c r="H213" s="49">
        <v>6394.0</v>
      </c>
      <c r="I213" s="49">
        <v>12788.0</v>
      </c>
      <c r="J213" s="48">
        <v>10.0</v>
      </c>
      <c r="K213" s="49">
        <v>1279.0</v>
      </c>
      <c r="L213" s="49">
        <v>11509.0</v>
      </c>
      <c r="M213" s="48" t="s">
        <v>61</v>
      </c>
      <c r="N213" s="48" t="s">
        <v>56</v>
      </c>
      <c r="O213" s="48" t="s">
        <v>44</v>
      </c>
      <c r="P213" s="43"/>
      <c r="Q213" s="43"/>
      <c r="R213" s="43"/>
      <c r="S213" s="43"/>
      <c r="T213" s="43"/>
      <c r="U213" s="43"/>
      <c r="V213" s="43"/>
      <c r="W213" s="43"/>
      <c r="X213" s="43"/>
      <c r="Y213" s="43"/>
      <c r="Z213" s="43"/>
    </row>
    <row r="214" ht="14.25" customHeight="1">
      <c r="A214" s="48">
        <v>20411.0</v>
      </c>
      <c r="B214" s="44">
        <v>45845.0</v>
      </c>
      <c r="C214" s="48" t="s">
        <v>80</v>
      </c>
      <c r="D214" s="48" t="s">
        <v>64</v>
      </c>
      <c r="E214" s="48" t="s">
        <v>59</v>
      </c>
      <c r="F214" s="48" t="s">
        <v>86</v>
      </c>
      <c r="G214" s="48">
        <v>4.0</v>
      </c>
      <c r="H214" s="49">
        <v>250.0</v>
      </c>
      <c r="I214" s="49">
        <v>1000.0</v>
      </c>
      <c r="J214" s="48">
        <v>20.0</v>
      </c>
      <c r="K214" s="49">
        <v>200.0</v>
      </c>
      <c r="L214" s="49">
        <v>800.0</v>
      </c>
      <c r="M214" s="48" t="s">
        <v>61</v>
      </c>
      <c r="N214" s="48" t="s">
        <v>72</v>
      </c>
      <c r="O214" s="48" t="s">
        <v>44</v>
      </c>
      <c r="P214" s="43"/>
      <c r="Q214" s="43"/>
      <c r="R214" s="43"/>
      <c r="S214" s="43"/>
      <c r="T214" s="43"/>
      <c r="U214" s="43"/>
      <c r="V214" s="43"/>
      <c r="W214" s="43"/>
      <c r="X214" s="43"/>
      <c r="Y214" s="43"/>
      <c r="Z214" s="43"/>
    </row>
    <row r="215" ht="14.25" customHeight="1">
      <c r="A215" s="46">
        <v>20110.0</v>
      </c>
      <c r="B215" s="44">
        <v>45846.0</v>
      </c>
      <c r="C215" s="46" t="s">
        <v>58</v>
      </c>
      <c r="D215" s="46" t="s">
        <v>25</v>
      </c>
      <c r="E215" s="46" t="s">
        <v>53</v>
      </c>
      <c r="F215" s="46" t="s">
        <v>54</v>
      </c>
      <c r="G215" s="46">
        <v>4.0</v>
      </c>
      <c r="H215" s="47">
        <v>1447.0</v>
      </c>
      <c r="I215" s="47">
        <v>5788.0</v>
      </c>
      <c r="J215" s="46">
        <v>0.0</v>
      </c>
      <c r="K215" s="47">
        <v>0.0</v>
      </c>
      <c r="L215" s="47">
        <v>5788.0</v>
      </c>
      <c r="M215" s="46" t="s">
        <v>49</v>
      </c>
      <c r="N215" s="46" t="s">
        <v>72</v>
      </c>
      <c r="O215" s="46" t="s">
        <v>69</v>
      </c>
      <c r="P215" s="43"/>
      <c r="Q215" s="43"/>
      <c r="R215" s="43"/>
      <c r="S215" s="43"/>
      <c r="T215" s="43"/>
      <c r="U215" s="43"/>
      <c r="V215" s="43"/>
      <c r="W215" s="43"/>
      <c r="X215" s="43"/>
      <c r="Y215" s="43"/>
      <c r="Z215" s="43"/>
    </row>
    <row r="216" ht="14.25" customHeight="1">
      <c r="A216" s="48">
        <v>20153.0</v>
      </c>
      <c r="B216" s="44">
        <v>45846.0</v>
      </c>
      <c r="C216" s="48" t="s">
        <v>73</v>
      </c>
      <c r="D216" s="48" t="s">
        <v>52</v>
      </c>
      <c r="E216" s="48" t="s">
        <v>47</v>
      </c>
      <c r="F216" s="48" t="s">
        <v>65</v>
      </c>
      <c r="G216" s="48">
        <v>10.0</v>
      </c>
      <c r="H216" s="49">
        <v>2159.0</v>
      </c>
      <c r="I216" s="49">
        <v>21590.0</v>
      </c>
      <c r="J216" s="48">
        <v>10.0</v>
      </c>
      <c r="K216" s="49">
        <v>2159.0</v>
      </c>
      <c r="L216" s="49">
        <v>19431.0</v>
      </c>
      <c r="M216" s="48" t="s">
        <v>61</v>
      </c>
      <c r="N216" s="48" t="s">
        <v>43</v>
      </c>
      <c r="O216" s="48" t="s">
        <v>57</v>
      </c>
      <c r="P216" s="43"/>
      <c r="Q216" s="43"/>
      <c r="R216" s="43"/>
      <c r="S216" s="43"/>
      <c r="T216" s="43"/>
      <c r="U216" s="43"/>
      <c r="V216" s="43"/>
      <c r="W216" s="43"/>
      <c r="X216" s="43"/>
      <c r="Y216" s="43"/>
      <c r="Z216" s="43"/>
    </row>
    <row r="217" ht="14.25" customHeight="1">
      <c r="A217" s="46">
        <v>20252.0</v>
      </c>
      <c r="B217" s="44">
        <v>45846.0</v>
      </c>
      <c r="C217" s="46" t="s">
        <v>89</v>
      </c>
      <c r="D217" s="46" t="s">
        <v>46</v>
      </c>
      <c r="E217" s="46" t="s">
        <v>77</v>
      </c>
      <c r="F217" s="46" t="s">
        <v>110</v>
      </c>
      <c r="G217" s="46">
        <v>13.0</v>
      </c>
      <c r="H217" s="47">
        <v>6155.0</v>
      </c>
      <c r="I217" s="47">
        <v>80015.0</v>
      </c>
      <c r="J217" s="46">
        <v>10.0</v>
      </c>
      <c r="K217" s="47">
        <v>8002.0</v>
      </c>
      <c r="L217" s="47">
        <v>72013.0</v>
      </c>
      <c r="M217" s="46" t="s">
        <v>49</v>
      </c>
      <c r="N217" s="46" t="s">
        <v>62</v>
      </c>
      <c r="O217" s="46" t="s">
        <v>57</v>
      </c>
      <c r="P217" s="43"/>
      <c r="Q217" s="43"/>
      <c r="R217" s="43"/>
      <c r="S217" s="43"/>
      <c r="T217" s="43"/>
      <c r="U217" s="43"/>
      <c r="V217" s="43"/>
      <c r="W217" s="43"/>
      <c r="X217" s="43"/>
      <c r="Y217" s="43"/>
      <c r="Z217" s="43"/>
    </row>
    <row r="218" ht="14.25" customHeight="1">
      <c r="A218" s="48">
        <v>20097.0</v>
      </c>
      <c r="B218" s="44">
        <v>45847.0</v>
      </c>
      <c r="C218" s="48" t="s">
        <v>24</v>
      </c>
      <c r="D218" s="48" t="s">
        <v>52</v>
      </c>
      <c r="E218" s="48" t="s">
        <v>47</v>
      </c>
      <c r="F218" s="48" t="s">
        <v>65</v>
      </c>
      <c r="G218" s="48">
        <v>15.0</v>
      </c>
      <c r="H218" s="49">
        <v>1870.0</v>
      </c>
      <c r="I218" s="49">
        <v>28050.0</v>
      </c>
      <c r="J218" s="48">
        <v>0.0</v>
      </c>
      <c r="K218" s="49">
        <v>0.0</v>
      </c>
      <c r="L218" s="49">
        <v>28050.0</v>
      </c>
      <c r="M218" s="48" t="s">
        <v>81</v>
      </c>
      <c r="N218" s="48" t="s">
        <v>72</v>
      </c>
      <c r="O218" s="48" t="s">
        <v>69</v>
      </c>
      <c r="P218" s="43"/>
      <c r="Q218" s="43"/>
      <c r="R218" s="43"/>
      <c r="S218" s="43"/>
      <c r="T218" s="43"/>
      <c r="U218" s="43"/>
      <c r="V218" s="43"/>
      <c r="W218" s="43"/>
      <c r="X218" s="43"/>
      <c r="Y218" s="43"/>
      <c r="Z218" s="43"/>
    </row>
    <row r="219" ht="14.25" customHeight="1">
      <c r="A219" s="46">
        <v>20202.0</v>
      </c>
      <c r="B219" s="44">
        <v>45847.0</v>
      </c>
      <c r="C219" s="46" t="s">
        <v>84</v>
      </c>
      <c r="D219" s="46" t="s">
        <v>46</v>
      </c>
      <c r="E219" s="46" t="s">
        <v>59</v>
      </c>
      <c r="F219" s="46" t="s">
        <v>79</v>
      </c>
      <c r="G219" s="46">
        <v>10.0</v>
      </c>
      <c r="H219" s="47">
        <v>68.0</v>
      </c>
      <c r="I219" s="47">
        <v>680.0</v>
      </c>
      <c r="J219" s="46">
        <v>10.0</v>
      </c>
      <c r="K219" s="47">
        <v>68.0</v>
      </c>
      <c r="L219" s="47">
        <v>612.0</v>
      </c>
      <c r="M219" s="46" t="s">
        <v>49</v>
      </c>
      <c r="N219" s="46" t="s">
        <v>56</v>
      </c>
      <c r="O219" s="46" t="s">
        <v>57</v>
      </c>
      <c r="P219" s="43"/>
      <c r="Q219" s="43"/>
      <c r="R219" s="43"/>
      <c r="S219" s="43"/>
      <c r="T219" s="43"/>
      <c r="U219" s="43"/>
      <c r="V219" s="43"/>
      <c r="W219" s="43"/>
      <c r="X219" s="43"/>
      <c r="Y219" s="43"/>
      <c r="Z219" s="43"/>
    </row>
    <row r="220" ht="14.25" customHeight="1">
      <c r="A220" s="46">
        <v>20126.0</v>
      </c>
      <c r="B220" s="44">
        <v>45848.0</v>
      </c>
      <c r="C220" s="46" t="s">
        <v>89</v>
      </c>
      <c r="D220" s="46" t="s">
        <v>46</v>
      </c>
      <c r="E220" s="46" t="s">
        <v>59</v>
      </c>
      <c r="F220" s="46" t="s">
        <v>86</v>
      </c>
      <c r="G220" s="46">
        <v>13.0</v>
      </c>
      <c r="H220" s="47">
        <v>86.0</v>
      </c>
      <c r="I220" s="47">
        <v>1118.0</v>
      </c>
      <c r="J220" s="46">
        <v>0.0</v>
      </c>
      <c r="K220" s="47">
        <v>0.0</v>
      </c>
      <c r="L220" s="47">
        <v>1118.0</v>
      </c>
      <c r="M220" s="46" t="s">
        <v>55</v>
      </c>
      <c r="N220" s="46" t="s">
        <v>62</v>
      </c>
      <c r="O220" s="46" t="s">
        <v>57</v>
      </c>
      <c r="P220" s="43"/>
      <c r="Q220" s="43"/>
      <c r="R220" s="43"/>
      <c r="S220" s="43"/>
      <c r="T220" s="43"/>
      <c r="U220" s="43"/>
      <c r="V220" s="43"/>
      <c r="W220" s="43"/>
      <c r="X220" s="43"/>
      <c r="Y220" s="43"/>
      <c r="Z220" s="43"/>
    </row>
    <row r="221" ht="14.25" customHeight="1">
      <c r="A221" s="48">
        <v>20271.0</v>
      </c>
      <c r="B221" s="44">
        <v>45848.0</v>
      </c>
      <c r="C221" s="48" t="s">
        <v>73</v>
      </c>
      <c r="D221" s="48" t="s">
        <v>52</v>
      </c>
      <c r="E221" s="48" t="s">
        <v>26</v>
      </c>
      <c r="F221" s="48" t="s">
        <v>70</v>
      </c>
      <c r="G221" s="48">
        <v>2.0</v>
      </c>
      <c r="H221" s="49">
        <v>637.0</v>
      </c>
      <c r="I221" s="49">
        <v>1274.0</v>
      </c>
      <c r="J221" s="48">
        <v>10.0</v>
      </c>
      <c r="K221" s="49">
        <v>127.0</v>
      </c>
      <c r="L221" s="49">
        <v>1147.0</v>
      </c>
      <c r="M221" s="48" t="s">
        <v>49</v>
      </c>
      <c r="N221" s="48" t="s">
        <v>62</v>
      </c>
      <c r="O221" s="48" t="s">
        <v>44</v>
      </c>
      <c r="P221" s="43"/>
      <c r="Q221" s="43"/>
      <c r="R221" s="43"/>
      <c r="S221" s="43"/>
      <c r="T221" s="43"/>
      <c r="U221" s="43"/>
      <c r="V221" s="43"/>
      <c r="W221" s="43"/>
      <c r="X221" s="43"/>
      <c r="Y221" s="43"/>
      <c r="Z221" s="43"/>
    </row>
    <row r="222" ht="14.25" customHeight="1">
      <c r="A222" s="48">
        <v>20135.0</v>
      </c>
      <c r="B222" s="44">
        <v>45849.0</v>
      </c>
      <c r="C222" s="48" t="s">
        <v>63</v>
      </c>
      <c r="D222" s="48" t="s">
        <v>64</v>
      </c>
      <c r="E222" s="48" t="s">
        <v>59</v>
      </c>
      <c r="F222" s="48" t="s">
        <v>79</v>
      </c>
      <c r="G222" s="48">
        <v>6.0</v>
      </c>
      <c r="H222" s="49">
        <v>110.0</v>
      </c>
      <c r="I222" s="49">
        <v>660.0</v>
      </c>
      <c r="J222" s="48">
        <v>20.0</v>
      </c>
      <c r="K222" s="49">
        <v>132.0</v>
      </c>
      <c r="L222" s="49">
        <v>528.0</v>
      </c>
      <c r="M222" s="48" t="s">
        <v>68</v>
      </c>
      <c r="N222" s="48" t="s">
        <v>50</v>
      </c>
      <c r="O222" s="48" t="s">
        <v>69</v>
      </c>
      <c r="P222" s="43"/>
      <c r="Q222" s="43"/>
      <c r="R222" s="43"/>
      <c r="S222" s="43"/>
      <c r="T222" s="43"/>
      <c r="U222" s="43"/>
      <c r="V222" s="43"/>
      <c r="W222" s="43"/>
      <c r="X222" s="43"/>
      <c r="Y222" s="43"/>
      <c r="Z222" s="43"/>
    </row>
    <row r="223" ht="14.25" customHeight="1">
      <c r="A223" s="48">
        <v>20199.0</v>
      </c>
      <c r="B223" s="44">
        <v>45851.0</v>
      </c>
      <c r="C223" s="48" t="s">
        <v>93</v>
      </c>
      <c r="D223" s="48" t="s">
        <v>25</v>
      </c>
      <c r="E223" s="48" t="s">
        <v>26</v>
      </c>
      <c r="F223" s="48" t="s">
        <v>100</v>
      </c>
      <c r="G223" s="48">
        <v>13.0</v>
      </c>
      <c r="H223" s="49">
        <v>342.0</v>
      </c>
      <c r="I223" s="49">
        <v>4446.0</v>
      </c>
      <c r="J223" s="48">
        <v>0.0</v>
      </c>
      <c r="K223" s="49">
        <v>0.0</v>
      </c>
      <c r="L223" s="49">
        <v>4446.0</v>
      </c>
      <c r="M223" s="48" t="s">
        <v>106</v>
      </c>
      <c r="N223" s="48" t="s">
        <v>50</v>
      </c>
      <c r="O223" s="48" t="s">
        <v>57</v>
      </c>
      <c r="P223" s="43"/>
      <c r="Q223" s="43"/>
      <c r="R223" s="43"/>
      <c r="S223" s="43"/>
      <c r="T223" s="43"/>
      <c r="U223" s="43"/>
      <c r="V223" s="43"/>
      <c r="W223" s="43"/>
      <c r="X223" s="43"/>
      <c r="Y223" s="43"/>
      <c r="Z223" s="43"/>
    </row>
    <row r="224" ht="14.25" customHeight="1">
      <c r="A224" s="46">
        <v>20388.0</v>
      </c>
      <c r="B224" s="44">
        <v>45851.0</v>
      </c>
      <c r="C224" s="46" t="s">
        <v>51</v>
      </c>
      <c r="D224" s="46" t="s">
        <v>52</v>
      </c>
      <c r="E224" s="46" t="s">
        <v>77</v>
      </c>
      <c r="F224" s="46" t="s">
        <v>90</v>
      </c>
      <c r="G224" s="46">
        <v>1.0</v>
      </c>
      <c r="H224" s="47">
        <v>5182.0</v>
      </c>
      <c r="I224" s="47">
        <v>5182.0</v>
      </c>
      <c r="J224" s="46">
        <v>20.0</v>
      </c>
      <c r="K224" s="47">
        <v>1036.0</v>
      </c>
      <c r="L224" s="47">
        <v>4146.0</v>
      </c>
      <c r="M224" s="46" t="s">
        <v>68</v>
      </c>
      <c r="N224" s="46" t="s">
        <v>56</v>
      </c>
      <c r="O224" s="46" t="s">
        <v>69</v>
      </c>
      <c r="P224" s="43"/>
      <c r="Q224" s="43"/>
      <c r="R224" s="43"/>
      <c r="S224" s="43"/>
      <c r="T224" s="43"/>
      <c r="U224" s="43"/>
      <c r="V224" s="43"/>
      <c r="W224" s="43"/>
      <c r="X224" s="43"/>
      <c r="Y224" s="43"/>
      <c r="Z224" s="43"/>
    </row>
    <row r="225" ht="14.25" customHeight="1">
      <c r="A225" s="46">
        <v>20004.0</v>
      </c>
      <c r="B225" s="44">
        <v>45852.0</v>
      </c>
      <c r="C225" s="46" t="s">
        <v>58</v>
      </c>
      <c r="D225" s="46" t="s">
        <v>25</v>
      </c>
      <c r="E225" s="45" t="s">
        <v>47</v>
      </c>
      <c r="F225" s="46" t="s">
        <v>95</v>
      </c>
      <c r="G225" s="46">
        <v>10.0</v>
      </c>
      <c r="H225" s="47">
        <v>387.0</v>
      </c>
      <c r="I225" s="47">
        <v>3870.0</v>
      </c>
      <c r="J225" s="46">
        <v>10.0</v>
      </c>
      <c r="K225" s="47">
        <v>387.0</v>
      </c>
      <c r="L225" s="47">
        <v>3483.0</v>
      </c>
      <c r="M225" s="46" t="s">
        <v>71</v>
      </c>
      <c r="N225" s="46" t="s">
        <v>43</v>
      </c>
      <c r="O225" s="46" t="s">
        <v>69</v>
      </c>
      <c r="P225" s="43"/>
      <c r="Q225" s="43"/>
      <c r="R225" s="43"/>
      <c r="S225" s="43"/>
      <c r="T225" s="43"/>
      <c r="U225" s="43"/>
      <c r="V225" s="43"/>
      <c r="W225" s="43"/>
      <c r="X225" s="43"/>
      <c r="Y225" s="43"/>
      <c r="Z225" s="43"/>
    </row>
    <row r="226" ht="14.25" customHeight="1">
      <c r="A226" s="48">
        <v>20279.0</v>
      </c>
      <c r="B226" s="44">
        <v>45853.0</v>
      </c>
      <c r="C226" s="48" t="s">
        <v>24</v>
      </c>
      <c r="D226" s="48" t="s">
        <v>52</v>
      </c>
      <c r="E226" s="48" t="s">
        <v>77</v>
      </c>
      <c r="F226" s="48" t="s">
        <v>101</v>
      </c>
      <c r="G226" s="48">
        <v>4.0</v>
      </c>
      <c r="H226" s="49">
        <v>3152.0</v>
      </c>
      <c r="I226" s="49">
        <v>12608.0</v>
      </c>
      <c r="J226" s="48">
        <v>0.0</v>
      </c>
      <c r="K226" s="49">
        <v>0.0</v>
      </c>
      <c r="L226" s="49">
        <v>12608.0</v>
      </c>
      <c r="M226" s="48" t="s">
        <v>49</v>
      </c>
      <c r="N226" s="48" t="s">
        <v>56</v>
      </c>
      <c r="O226" s="48" t="s">
        <v>57</v>
      </c>
      <c r="P226" s="43"/>
      <c r="Q226" s="43"/>
      <c r="R226" s="43"/>
      <c r="S226" s="43"/>
      <c r="T226" s="43"/>
      <c r="U226" s="43"/>
      <c r="V226" s="43"/>
      <c r="W226" s="43"/>
      <c r="X226" s="43"/>
      <c r="Y226" s="43"/>
      <c r="Z226" s="43"/>
    </row>
    <row r="227" ht="14.25" customHeight="1">
      <c r="A227" s="48">
        <v>20213.0</v>
      </c>
      <c r="B227" s="44">
        <v>45854.0</v>
      </c>
      <c r="C227" s="48" t="s">
        <v>76</v>
      </c>
      <c r="D227" s="48" t="s">
        <v>64</v>
      </c>
      <c r="E227" s="48" t="s">
        <v>26</v>
      </c>
      <c r="F227" s="48" t="s">
        <v>70</v>
      </c>
      <c r="G227" s="48">
        <v>12.0</v>
      </c>
      <c r="H227" s="49">
        <v>474.0</v>
      </c>
      <c r="I227" s="49">
        <v>5688.0</v>
      </c>
      <c r="J227" s="48">
        <v>20.0</v>
      </c>
      <c r="K227" s="49">
        <v>1138.0</v>
      </c>
      <c r="L227" s="49">
        <v>4550.0</v>
      </c>
      <c r="M227" s="48" t="s">
        <v>71</v>
      </c>
      <c r="N227" s="48" t="s">
        <v>72</v>
      </c>
      <c r="O227" s="48" t="s">
        <v>57</v>
      </c>
      <c r="P227" s="43"/>
      <c r="Q227" s="43"/>
      <c r="R227" s="43"/>
      <c r="S227" s="43"/>
      <c r="T227" s="43"/>
      <c r="U227" s="43"/>
      <c r="V227" s="43"/>
      <c r="W227" s="43"/>
      <c r="X227" s="43"/>
      <c r="Y227" s="43"/>
      <c r="Z227" s="43"/>
    </row>
    <row r="228" ht="14.25" customHeight="1">
      <c r="A228" s="48">
        <v>20397.0</v>
      </c>
      <c r="B228" s="44">
        <v>45854.0</v>
      </c>
      <c r="C228" s="48" t="s">
        <v>51</v>
      </c>
      <c r="D228" s="48" t="s">
        <v>52</v>
      </c>
      <c r="E228" s="48" t="s">
        <v>47</v>
      </c>
      <c r="F228" s="48" t="s">
        <v>103</v>
      </c>
      <c r="G228" s="48">
        <v>5.0</v>
      </c>
      <c r="H228" s="49">
        <v>2223.0</v>
      </c>
      <c r="I228" s="49">
        <v>11115.0</v>
      </c>
      <c r="J228" s="48">
        <v>5.0</v>
      </c>
      <c r="K228" s="49">
        <v>556.0</v>
      </c>
      <c r="L228" s="49">
        <v>10559.0</v>
      </c>
      <c r="M228" s="48" t="s">
        <v>81</v>
      </c>
      <c r="N228" s="48" t="s">
        <v>50</v>
      </c>
      <c r="O228" s="48" t="s">
        <v>57</v>
      </c>
      <c r="P228" s="43"/>
      <c r="Q228" s="43"/>
      <c r="R228" s="43"/>
      <c r="S228" s="43"/>
      <c r="T228" s="43"/>
      <c r="U228" s="43"/>
      <c r="V228" s="43"/>
      <c r="W228" s="43"/>
      <c r="X228" s="43"/>
      <c r="Y228" s="43"/>
      <c r="Z228" s="43"/>
    </row>
    <row r="229" ht="14.25" customHeight="1">
      <c r="A229" s="46">
        <v>20150.0</v>
      </c>
      <c r="B229" s="44">
        <v>45856.0</v>
      </c>
      <c r="C229" s="46" t="s">
        <v>58</v>
      </c>
      <c r="D229" s="46" t="s">
        <v>25</v>
      </c>
      <c r="E229" s="46" t="s">
        <v>53</v>
      </c>
      <c r="F229" s="46" t="s">
        <v>95</v>
      </c>
      <c r="G229" s="46">
        <v>12.0</v>
      </c>
      <c r="H229" s="47">
        <v>1552.0</v>
      </c>
      <c r="I229" s="47">
        <v>18624.0</v>
      </c>
      <c r="J229" s="46">
        <v>0.0</v>
      </c>
      <c r="K229" s="47">
        <v>0.0</v>
      </c>
      <c r="L229" s="47">
        <v>18624.0</v>
      </c>
      <c r="M229" s="46" t="s">
        <v>71</v>
      </c>
      <c r="N229" s="46" t="s">
        <v>50</v>
      </c>
      <c r="O229" s="46" t="s">
        <v>69</v>
      </c>
      <c r="P229" s="43"/>
      <c r="Q229" s="43"/>
      <c r="R229" s="43"/>
      <c r="S229" s="43"/>
      <c r="T229" s="43"/>
      <c r="U229" s="43"/>
      <c r="V229" s="43"/>
      <c r="W229" s="43"/>
      <c r="X229" s="43"/>
      <c r="Y229" s="43"/>
      <c r="Z229" s="43"/>
    </row>
    <row r="230" ht="14.25" customHeight="1">
      <c r="A230" s="46">
        <v>20022.0</v>
      </c>
      <c r="B230" s="44">
        <v>45857.0</v>
      </c>
      <c r="C230" s="46" t="s">
        <v>66</v>
      </c>
      <c r="D230" s="46" t="s">
        <v>46</v>
      </c>
      <c r="E230" s="46" t="s">
        <v>59</v>
      </c>
      <c r="F230" s="46" t="s">
        <v>85</v>
      </c>
      <c r="G230" s="46">
        <v>7.0</v>
      </c>
      <c r="H230" s="47">
        <v>211.0</v>
      </c>
      <c r="I230" s="47">
        <v>1477.0</v>
      </c>
      <c r="J230" s="46">
        <v>0.0</v>
      </c>
      <c r="K230" s="47">
        <v>0.0</v>
      </c>
      <c r="L230" s="47">
        <v>1477.0</v>
      </c>
      <c r="M230" s="46" t="s">
        <v>49</v>
      </c>
      <c r="N230" s="46" t="s">
        <v>56</v>
      </c>
      <c r="O230" s="46" t="s">
        <v>69</v>
      </c>
      <c r="P230" s="43"/>
      <c r="Q230" s="43"/>
      <c r="R230" s="43"/>
      <c r="S230" s="43"/>
      <c r="T230" s="43"/>
      <c r="U230" s="43"/>
      <c r="V230" s="43"/>
      <c r="W230" s="43"/>
      <c r="X230" s="43"/>
      <c r="Y230" s="43"/>
      <c r="Z230" s="43"/>
    </row>
    <row r="231" ht="14.25" customHeight="1">
      <c r="A231" s="46">
        <v>20216.0</v>
      </c>
      <c r="B231" s="44">
        <v>45857.0</v>
      </c>
      <c r="C231" s="46" t="s">
        <v>84</v>
      </c>
      <c r="D231" s="46" t="s">
        <v>46</v>
      </c>
      <c r="E231" s="46" t="s">
        <v>53</v>
      </c>
      <c r="F231" s="46" t="s">
        <v>102</v>
      </c>
      <c r="G231" s="46">
        <v>2.0</v>
      </c>
      <c r="H231" s="47">
        <v>1209.0</v>
      </c>
      <c r="I231" s="47">
        <v>2418.0</v>
      </c>
      <c r="J231" s="46">
        <v>0.0</v>
      </c>
      <c r="K231" s="47">
        <v>0.0</v>
      </c>
      <c r="L231" s="47">
        <v>2418.0</v>
      </c>
      <c r="M231" s="46" t="s">
        <v>68</v>
      </c>
      <c r="N231" s="46" t="s">
        <v>62</v>
      </c>
      <c r="O231" s="46" t="s">
        <v>69</v>
      </c>
      <c r="P231" s="43"/>
      <c r="Q231" s="43"/>
      <c r="R231" s="43"/>
      <c r="S231" s="43"/>
      <c r="T231" s="43"/>
      <c r="U231" s="43"/>
      <c r="V231" s="43"/>
      <c r="W231" s="43"/>
      <c r="X231" s="43"/>
      <c r="Y231" s="43"/>
      <c r="Z231" s="43"/>
    </row>
    <row r="232" ht="14.25" customHeight="1">
      <c r="A232" s="48">
        <v>20163.0</v>
      </c>
      <c r="B232" s="44">
        <v>45859.0</v>
      </c>
      <c r="C232" s="48" t="s">
        <v>73</v>
      </c>
      <c r="D232" s="48" t="s">
        <v>52</v>
      </c>
      <c r="E232" s="48" t="s">
        <v>77</v>
      </c>
      <c r="F232" s="48" t="s">
        <v>78</v>
      </c>
      <c r="G232" s="48">
        <v>10.0</v>
      </c>
      <c r="H232" s="49">
        <v>1298.0</v>
      </c>
      <c r="I232" s="49">
        <v>12980.0</v>
      </c>
      <c r="J232" s="48">
        <v>10.0</v>
      </c>
      <c r="K232" s="49">
        <v>1298.0</v>
      </c>
      <c r="L232" s="49">
        <v>11682.0</v>
      </c>
      <c r="M232" s="48" t="s">
        <v>42</v>
      </c>
      <c r="N232" s="48" t="s">
        <v>72</v>
      </c>
      <c r="O232" s="48" t="s">
        <v>57</v>
      </c>
      <c r="P232" s="43"/>
      <c r="Q232" s="43"/>
      <c r="R232" s="43"/>
      <c r="S232" s="43"/>
      <c r="T232" s="43"/>
      <c r="U232" s="43"/>
      <c r="V232" s="43"/>
      <c r="W232" s="43"/>
      <c r="X232" s="43"/>
      <c r="Y232" s="43"/>
      <c r="Z232" s="43"/>
    </row>
    <row r="233" ht="14.25" customHeight="1">
      <c r="A233" s="48">
        <v>20409.0</v>
      </c>
      <c r="B233" s="44">
        <v>45859.0</v>
      </c>
      <c r="C233" s="48" t="s">
        <v>80</v>
      </c>
      <c r="D233" s="48" t="s">
        <v>64</v>
      </c>
      <c r="E233" s="48" t="s">
        <v>59</v>
      </c>
      <c r="F233" s="48" t="s">
        <v>79</v>
      </c>
      <c r="G233" s="48">
        <v>12.0</v>
      </c>
      <c r="H233" s="49">
        <v>412.0</v>
      </c>
      <c r="I233" s="49">
        <v>4944.0</v>
      </c>
      <c r="J233" s="48">
        <v>0.0</v>
      </c>
      <c r="K233" s="49">
        <v>0.0</v>
      </c>
      <c r="L233" s="49">
        <v>4944.0</v>
      </c>
      <c r="M233" s="48" t="s">
        <v>106</v>
      </c>
      <c r="N233" s="48" t="s">
        <v>43</v>
      </c>
      <c r="O233" s="48" t="s">
        <v>57</v>
      </c>
      <c r="P233" s="43"/>
      <c r="Q233" s="43"/>
      <c r="R233" s="43"/>
      <c r="S233" s="43"/>
      <c r="T233" s="43"/>
      <c r="U233" s="43"/>
      <c r="V233" s="43"/>
      <c r="W233" s="43"/>
      <c r="X233" s="43"/>
      <c r="Y233" s="43"/>
      <c r="Z233" s="43"/>
    </row>
    <row r="234" ht="14.25" customHeight="1">
      <c r="A234" s="46">
        <v>20090.0</v>
      </c>
      <c r="B234" s="44">
        <v>45860.0</v>
      </c>
      <c r="C234" s="46" t="s">
        <v>66</v>
      </c>
      <c r="D234" s="46" t="s">
        <v>46</v>
      </c>
      <c r="E234" s="46" t="s">
        <v>26</v>
      </c>
      <c r="F234" s="46" t="s">
        <v>70</v>
      </c>
      <c r="G234" s="46">
        <v>14.0</v>
      </c>
      <c r="H234" s="47">
        <v>170.0</v>
      </c>
      <c r="I234" s="47">
        <v>2380.0</v>
      </c>
      <c r="J234" s="46">
        <v>20.0</v>
      </c>
      <c r="K234" s="47">
        <v>476.0</v>
      </c>
      <c r="L234" s="47">
        <v>1904.0</v>
      </c>
      <c r="M234" s="46" t="s">
        <v>96</v>
      </c>
      <c r="N234" s="46" t="s">
        <v>50</v>
      </c>
      <c r="O234" s="46" t="s">
        <v>57</v>
      </c>
      <c r="P234" s="43"/>
      <c r="Q234" s="43"/>
      <c r="R234" s="43"/>
      <c r="S234" s="43"/>
      <c r="T234" s="43"/>
      <c r="U234" s="43"/>
      <c r="V234" s="43"/>
      <c r="W234" s="43"/>
      <c r="X234" s="43"/>
      <c r="Y234" s="43"/>
      <c r="Z234" s="43"/>
    </row>
    <row r="235" ht="14.25" customHeight="1">
      <c r="A235" s="48">
        <v>20115.0</v>
      </c>
      <c r="B235" s="44">
        <v>45860.0</v>
      </c>
      <c r="C235" s="48" t="s">
        <v>93</v>
      </c>
      <c r="D235" s="48" t="s">
        <v>25</v>
      </c>
      <c r="E235" s="48" t="s">
        <v>26</v>
      </c>
      <c r="F235" s="48" t="s">
        <v>100</v>
      </c>
      <c r="G235" s="48">
        <v>5.0</v>
      </c>
      <c r="H235" s="49">
        <v>336.0</v>
      </c>
      <c r="I235" s="49">
        <v>1680.0</v>
      </c>
      <c r="J235" s="48">
        <v>0.0</v>
      </c>
      <c r="K235" s="49">
        <v>0.0</v>
      </c>
      <c r="L235" s="49">
        <v>1680.0</v>
      </c>
      <c r="M235" s="48" t="s">
        <v>71</v>
      </c>
      <c r="N235" s="48" t="s">
        <v>62</v>
      </c>
      <c r="O235" s="48" t="s">
        <v>44</v>
      </c>
      <c r="P235" s="43"/>
      <c r="Q235" s="43"/>
      <c r="R235" s="43"/>
      <c r="S235" s="43"/>
      <c r="T235" s="43"/>
      <c r="U235" s="43"/>
      <c r="V235" s="43"/>
      <c r="W235" s="43"/>
      <c r="X235" s="43"/>
      <c r="Y235" s="43"/>
      <c r="Z235" s="43"/>
    </row>
    <row r="236" ht="14.25" customHeight="1">
      <c r="A236" s="46">
        <v>20420.0</v>
      </c>
      <c r="B236" s="44">
        <v>45861.0</v>
      </c>
      <c r="C236" s="45" t="s">
        <v>76</v>
      </c>
      <c r="D236" s="46" t="s">
        <v>25</v>
      </c>
      <c r="E236" s="46" t="s">
        <v>26</v>
      </c>
      <c r="F236" s="46" t="s">
        <v>104</v>
      </c>
      <c r="G236" s="46">
        <v>15.0</v>
      </c>
      <c r="H236" s="47">
        <v>604.0</v>
      </c>
      <c r="I236" s="47">
        <v>9060.0</v>
      </c>
      <c r="J236" s="46">
        <v>10.0</v>
      </c>
      <c r="K236" s="47">
        <v>906.0</v>
      </c>
      <c r="L236" s="47">
        <v>8154.0</v>
      </c>
      <c r="M236" s="46" t="s">
        <v>71</v>
      </c>
      <c r="N236" s="46" t="s">
        <v>62</v>
      </c>
      <c r="O236" s="46" t="s">
        <v>44</v>
      </c>
      <c r="P236" s="43"/>
      <c r="Q236" s="43"/>
      <c r="R236" s="43"/>
      <c r="S236" s="43"/>
      <c r="T236" s="43"/>
      <c r="U236" s="43"/>
      <c r="V236" s="43"/>
      <c r="W236" s="43"/>
      <c r="X236" s="43"/>
      <c r="Y236" s="43"/>
      <c r="Z236" s="43"/>
    </row>
    <row r="237" ht="14.25" customHeight="1">
      <c r="A237" s="46">
        <v>20104.0</v>
      </c>
      <c r="B237" s="44">
        <v>45863.0</v>
      </c>
      <c r="C237" s="46" t="s">
        <v>24</v>
      </c>
      <c r="D237" s="46" t="s">
        <v>52</v>
      </c>
      <c r="E237" s="46" t="s">
        <v>26</v>
      </c>
      <c r="F237" s="46" t="s">
        <v>111</v>
      </c>
      <c r="G237" s="46">
        <v>12.0</v>
      </c>
      <c r="H237" s="47">
        <v>574.0</v>
      </c>
      <c r="I237" s="47">
        <v>6888.0</v>
      </c>
      <c r="J237" s="46">
        <v>0.0</v>
      </c>
      <c r="K237" s="47">
        <v>0.0</v>
      </c>
      <c r="L237" s="47">
        <v>6888.0</v>
      </c>
      <c r="M237" s="46" t="s">
        <v>68</v>
      </c>
      <c r="N237" s="46" t="s">
        <v>72</v>
      </c>
      <c r="O237" s="46" t="s">
        <v>57</v>
      </c>
      <c r="P237" s="43"/>
      <c r="Q237" s="43"/>
      <c r="R237" s="43"/>
      <c r="S237" s="43"/>
      <c r="T237" s="43"/>
      <c r="U237" s="43"/>
      <c r="V237" s="43"/>
      <c r="W237" s="43"/>
      <c r="X237" s="43"/>
      <c r="Y237" s="43"/>
      <c r="Z237" s="43"/>
    </row>
    <row r="238" ht="14.25" customHeight="1">
      <c r="A238" s="46">
        <v>20096.0</v>
      </c>
      <c r="B238" s="44">
        <v>45867.0</v>
      </c>
      <c r="C238" s="46" t="s">
        <v>58</v>
      </c>
      <c r="D238" s="46" t="s">
        <v>25</v>
      </c>
      <c r="E238" s="46" t="s">
        <v>77</v>
      </c>
      <c r="F238" s="46" t="s">
        <v>90</v>
      </c>
      <c r="G238" s="46">
        <v>1.0</v>
      </c>
      <c r="H238" s="47">
        <v>4935.0</v>
      </c>
      <c r="I238" s="47">
        <v>4935.0</v>
      </c>
      <c r="J238" s="46">
        <v>10.0</v>
      </c>
      <c r="K238" s="47">
        <v>494.0</v>
      </c>
      <c r="L238" s="47">
        <v>4441.0</v>
      </c>
      <c r="M238" s="46" t="s">
        <v>68</v>
      </c>
      <c r="N238" s="46" t="s">
        <v>43</v>
      </c>
      <c r="O238" s="46" t="s">
        <v>44</v>
      </c>
      <c r="P238" s="43"/>
      <c r="Q238" s="43"/>
      <c r="R238" s="43"/>
      <c r="S238" s="43"/>
      <c r="T238" s="43"/>
      <c r="U238" s="43"/>
      <c r="V238" s="43"/>
      <c r="W238" s="43"/>
      <c r="X238" s="43"/>
      <c r="Y238" s="43"/>
      <c r="Z238" s="43"/>
    </row>
    <row r="239" ht="14.25" customHeight="1">
      <c r="A239" s="48">
        <v>20269.0</v>
      </c>
      <c r="B239" s="44">
        <v>45867.0</v>
      </c>
      <c r="C239" s="48" t="s">
        <v>97</v>
      </c>
      <c r="D239" s="48" t="s">
        <v>25</v>
      </c>
      <c r="E239" s="48" t="s">
        <v>77</v>
      </c>
      <c r="F239" s="48" t="s">
        <v>88</v>
      </c>
      <c r="G239" s="48">
        <v>6.0</v>
      </c>
      <c r="H239" s="49">
        <v>3644.0</v>
      </c>
      <c r="I239" s="49">
        <v>21864.0</v>
      </c>
      <c r="J239" s="48">
        <v>20.0</v>
      </c>
      <c r="K239" s="49">
        <v>4373.0</v>
      </c>
      <c r="L239" s="49">
        <v>17491.0</v>
      </c>
      <c r="M239" s="48" t="s">
        <v>96</v>
      </c>
      <c r="N239" s="48" t="s">
        <v>62</v>
      </c>
      <c r="O239" s="48" t="s">
        <v>69</v>
      </c>
      <c r="P239" s="43"/>
      <c r="Q239" s="43"/>
      <c r="R239" s="43"/>
      <c r="S239" s="43"/>
      <c r="T239" s="43"/>
      <c r="U239" s="43"/>
      <c r="V239" s="43"/>
      <c r="W239" s="43"/>
      <c r="X239" s="43"/>
      <c r="Y239" s="43"/>
      <c r="Z239" s="43"/>
    </row>
    <row r="240" ht="14.25" customHeight="1">
      <c r="A240" s="46">
        <v>20296.0</v>
      </c>
      <c r="B240" s="44">
        <v>45867.0</v>
      </c>
      <c r="C240" s="46" t="s">
        <v>66</v>
      </c>
      <c r="D240" s="46" t="s">
        <v>46</v>
      </c>
      <c r="E240" s="46" t="s">
        <v>53</v>
      </c>
      <c r="F240" s="46" t="s">
        <v>95</v>
      </c>
      <c r="G240" s="46">
        <v>4.0</v>
      </c>
      <c r="H240" s="47">
        <v>1103.0</v>
      </c>
      <c r="I240" s="47">
        <v>4412.0</v>
      </c>
      <c r="J240" s="46">
        <v>20.0</v>
      </c>
      <c r="K240" s="47">
        <v>882.0</v>
      </c>
      <c r="L240" s="47">
        <v>3530.0</v>
      </c>
      <c r="M240" s="46" t="s">
        <v>42</v>
      </c>
      <c r="N240" s="46" t="s">
        <v>50</v>
      </c>
      <c r="O240" s="46" t="s">
        <v>69</v>
      </c>
      <c r="P240" s="43"/>
      <c r="Q240" s="43"/>
      <c r="R240" s="43"/>
      <c r="S240" s="43"/>
      <c r="T240" s="43"/>
      <c r="U240" s="43"/>
      <c r="V240" s="43"/>
      <c r="W240" s="43"/>
      <c r="X240" s="43"/>
      <c r="Y240" s="43"/>
      <c r="Z240" s="43"/>
    </row>
    <row r="241" ht="14.25" customHeight="1">
      <c r="A241" s="46">
        <v>20322.0</v>
      </c>
      <c r="B241" s="44">
        <v>45869.0</v>
      </c>
      <c r="C241" s="46" t="s">
        <v>93</v>
      </c>
      <c r="D241" s="46" t="s">
        <v>25</v>
      </c>
      <c r="E241" s="46" t="s">
        <v>77</v>
      </c>
      <c r="F241" s="46" t="s">
        <v>78</v>
      </c>
      <c r="G241" s="46">
        <v>4.0</v>
      </c>
      <c r="H241" s="47">
        <v>4252.0</v>
      </c>
      <c r="I241" s="47">
        <v>17008.0</v>
      </c>
      <c r="J241" s="46">
        <v>0.0</v>
      </c>
      <c r="K241" s="47">
        <v>0.0</v>
      </c>
      <c r="L241" s="47">
        <v>17008.0</v>
      </c>
      <c r="M241" s="46" t="s">
        <v>68</v>
      </c>
      <c r="N241" s="46" t="s">
        <v>62</v>
      </c>
      <c r="O241" s="46" t="s">
        <v>44</v>
      </c>
      <c r="P241" s="43"/>
      <c r="Q241" s="43"/>
      <c r="R241" s="43"/>
      <c r="S241" s="43"/>
      <c r="T241" s="43"/>
      <c r="U241" s="43"/>
      <c r="V241" s="43"/>
      <c r="W241" s="43"/>
      <c r="X241" s="43"/>
      <c r="Y241" s="43"/>
      <c r="Z241" s="43"/>
    </row>
    <row r="242" ht="14.25" customHeight="1">
      <c r="A242" s="46">
        <v>20394.0</v>
      </c>
      <c r="B242" s="44">
        <v>45869.0</v>
      </c>
      <c r="C242" s="46" t="s">
        <v>82</v>
      </c>
      <c r="D242" s="46" t="s">
        <v>52</v>
      </c>
      <c r="E242" s="46" t="s">
        <v>77</v>
      </c>
      <c r="F242" s="46" t="s">
        <v>101</v>
      </c>
      <c r="G242" s="46">
        <v>9.0</v>
      </c>
      <c r="H242" s="47">
        <v>2978.0</v>
      </c>
      <c r="I242" s="47">
        <v>26802.0</v>
      </c>
      <c r="J242" s="46">
        <v>20.0</v>
      </c>
      <c r="K242" s="47">
        <v>5360.0</v>
      </c>
      <c r="L242" s="47">
        <v>21442.0</v>
      </c>
      <c r="M242" s="46" t="s">
        <v>61</v>
      </c>
      <c r="N242" s="46" t="s">
        <v>50</v>
      </c>
      <c r="O242" s="46" t="s">
        <v>57</v>
      </c>
      <c r="P242" s="43"/>
      <c r="Q242" s="43"/>
      <c r="R242" s="43"/>
      <c r="S242" s="43"/>
      <c r="T242" s="43"/>
      <c r="U242" s="43"/>
      <c r="V242" s="43"/>
      <c r="W242" s="43"/>
      <c r="X242" s="43"/>
      <c r="Y242" s="43"/>
      <c r="Z242" s="43"/>
    </row>
    <row r="243" ht="14.25" customHeight="1">
      <c r="A243" s="48">
        <v>20203.0</v>
      </c>
      <c r="B243" s="44">
        <v>45871.0</v>
      </c>
      <c r="C243" s="48" t="s">
        <v>89</v>
      </c>
      <c r="D243" s="48" t="s">
        <v>46</v>
      </c>
      <c r="E243" s="48" t="s">
        <v>77</v>
      </c>
      <c r="F243" s="48" t="s">
        <v>78</v>
      </c>
      <c r="G243" s="48">
        <v>6.0</v>
      </c>
      <c r="H243" s="49">
        <v>4011.0</v>
      </c>
      <c r="I243" s="49">
        <v>24066.0</v>
      </c>
      <c r="J243" s="48">
        <v>10.0</v>
      </c>
      <c r="K243" s="49">
        <v>2407.0</v>
      </c>
      <c r="L243" s="49">
        <v>21659.0</v>
      </c>
      <c r="M243" s="48" t="s">
        <v>55</v>
      </c>
      <c r="N243" s="48" t="s">
        <v>72</v>
      </c>
      <c r="O243" s="48" t="s">
        <v>44</v>
      </c>
      <c r="P243" s="43"/>
      <c r="Q243" s="43"/>
      <c r="R243" s="43"/>
      <c r="S243" s="43"/>
      <c r="T243" s="43"/>
      <c r="U243" s="43"/>
      <c r="V243" s="43"/>
      <c r="W243" s="43"/>
      <c r="X243" s="43"/>
      <c r="Y243" s="43"/>
      <c r="Z243" s="43"/>
    </row>
    <row r="244" ht="14.25" customHeight="1">
      <c r="A244" s="46">
        <v>20308.0</v>
      </c>
      <c r="B244" s="44">
        <v>45871.0</v>
      </c>
      <c r="C244" s="46" t="s">
        <v>92</v>
      </c>
      <c r="D244" s="46" t="s">
        <v>25</v>
      </c>
      <c r="E244" s="46" t="s">
        <v>77</v>
      </c>
      <c r="F244" s="46" t="s">
        <v>110</v>
      </c>
      <c r="G244" s="46">
        <v>4.0</v>
      </c>
      <c r="H244" s="47">
        <v>6969.0</v>
      </c>
      <c r="I244" s="47">
        <v>27876.0</v>
      </c>
      <c r="J244" s="46">
        <v>20.0</v>
      </c>
      <c r="K244" s="47">
        <v>5575.0</v>
      </c>
      <c r="L244" s="47">
        <v>22301.0</v>
      </c>
      <c r="M244" s="46" t="s">
        <v>55</v>
      </c>
      <c r="N244" s="46" t="s">
        <v>62</v>
      </c>
      <c r="O244" s="46" t="s">
        <v>57</v>
      </c>
      <c r="P244" s="43"/>
      <c r="Q244" s="43"/>
      <c r="R244" s="43"/>
      <c r="S244" s="43"/>
      <c r="T244" s="43"/>
      <c r="U244" s="43"/>
      <c r="V244" s="43"/>
      <c r="W244" s="43"/>
      <c r="X244" s="43"/>
      <c r="Y244" s="43"/>
      <c r="Z244" s="43"/>
    </row>
    <row r="245" ht="14.25" customHeight="1">
      <c r="A245" s="46">
        <v>20002.0</v>
      </c>
      <c r="B245" s="44">
        <v>45874.0</v>
      </c>
      <c r="C245" s="45" t="s">
        <v>66</v>
      </c>
      <c r="D245" s="46" t="s">
        <v>25</v>
      </c>
      <c r="E245" s="46" t="s">
        <v>26</v>
      </c>
      <c r="F245" s="46" t="s">
        <v>104</v>
      </c>
      <c r="G245" s="46">
        <v>4.0</v>
      </c>
      <c r="H245" s="47">
        <v>358.0</v>
      </c>
      <c r="I245" s="47">
        <v>1432.0</v>
      </c>
      <c r="J245" s="46">
        <v>0.0</v>
      </c>
      <c r="K245" s="47">
        <v>0.0</v>
      </c>
      <c r="L245" s="47">
        <v>1432.0</v>
      </c>
      <c r="M245" s="46" t="s">
        <v>87</v>
      </c>
      <c r="N245" s="46" t="s">
        <v>43</v>
      </c>
      <c r="O245" s="46" t="s">
        <v>69</v>
      </c>
      <c r="P245" s="43"/>
      <c r="Q245" s="43" t="str">
        <f t="array" ref="Q245:Q249">UNIQUE(D244:D662)</f>
        <v>North</v>
      </c>
      <c r="R245" s="43" t="str">
        <f>SUMIFS(L$2:L$421,$D244:$D662,$Q245,$E244:$F662,R$2)</f>
        <v>#VALUE!</v>
      </c>
      <c r="S245" s="43"/>
      <c r="T245" s="43"/>
      <c r="U245" s="43"/>
      <c r="V245" s="43"/>
      <c r="W245" s="43"/>
      <c r="X245" s="43"/>
      <c r="Y245" s="43"/>
      <c r="Z245" s="43"/>
    </row>
    <row r="246" ht="14.25" customHeight="1">
      <c r="A246" s="48">
        <v>20019.0</v>
      </c>
      <c r="B246" s="44">
        <v>45874.0</v>
      </c>
      <c r="C246" s="48" t="s">
        <v>24</v>
      </c>
      <c r="D246" s="48" t="s">
        <v>52</v>
      </c>
      <c r="E246" s="48" t="s">
        <v>59</v>
      </c>
      <c r="F246" s="48" t="s">
        <v>79</v>
      </c>
      <c r="G246" s="48">
        <v>11.0</v>
      </c>
      <c r="H246" s="49">
        <v>432.0</v>
      </c>
      <c r="I246" s="49">
        <v>4752.0</v>
      </c>
      <c r="J246" s="48">
        <v>20.0</v>
      </c>
      <c r="K246" s="49">
        <v>950.0</v>
      </c>
      <c r="L246" s="49">
        <v>3802.0</v>
      </c>
      <c r="M246" s="48" t="s">
        <v>71</v>
      </c>
      <c r="N246" s="48" t="s">
        <v>50</v>
      </c>
      <c r="O246" s="48" t="s">
        <v>69</v>
      </c>
      <c r="P246" s="43"/>
      <c r="Q246" s="43" t="s">
        <v>52</v>
      </c>
      <c r="R246" s="43"/>
      <c r="S246" s="43"/>
      <c r="T246" s="43"/>
      <c r="U246" s="43"/>
      <c r="V246" s="43"/>
      <c r="W246" s="43"/>
      <c r="X246" s="43"/>
      <c r="Y246" s="43"/>
      <c r="Z246" s="43"/>
    </row>
    <row r="247" ht="14.25" customHeight="1">
      <c r="A247" s="46">
        <v>20116.0</v>
      </c>
      <c r="B247" s="44">
        <v>45878.0</v>
      </c>
      <c r="C247" s="46" t="s">
        <v>80</v>
      </c>
      <c r="D247" s="46" t="s">
        <v>64</v>
      </c>
      <c r="E247" s="46" t="s">
        <v>77</v>
      </c>
      <c r="F247" s="46" t="s">
        <v>110</v>
      </c>
      <c r="G247" s="46">
        <v>9.0</v>
      </c>
      <c r="H247" s="47">
        <v>4998.0</v>
      </c>
      <c r="I247" s="47">
        <v>44982.0</v>
      </c>
      <c r="J247" s="46">
        <v>0.0</v>
      </c>
      <c r="K247" s="47">
        <v>0.0</v>
      </c>
      <c r="L247" s="47">
        <v>44982.0</v>
      </c>
      <c r="M247" s="46" t="s">
        <v>61</v>
      </c>
      <c r="N247" s="46" t="s">
        <v>62</v>
      </c>
      <c r="O247" s="46" t="s">
        <v>44</v>
      </c>
      <c r="P247" s="43"/>
      <c r="Q247" s="43" t="s">
        <v>64</v>
      </c>
      <c r="R247" s="43"/>
      <c r="S247" s="43"/>
      <c r="T247" s="43"/>
      <c r="U247" s="43"/>
      <c r="V247" s="43"/>
      <c r="W247" s="43"/>
      <c r="X247" s="43"/>
      <c r="Y247" s="43"/>
      <c r="Z247" s="43"/>
    </row>
    <row r="248" ht="14.25" customHeight="1">
      <c r="A248" s="48">
        <v>20217.0</v>
      </c>
      <c r="B248" s="44">
        <v>45878.0</v>
      </c>
      <c r="C248" s="48" t="s">
        <v>73</v>
      </c>
      <c r="D248" s="48" t="s">
        <v>52</v>
      </c>
      <c r="E248" s="48" t="s">
        <v>47</v>
      </c>
      <c r="F248" s="48" t="s">
        <v>103</v>
      </c>
      <c r="G248" s="48">
        <v>9.0</v>
      </c>
      <c r="H248" s="49">
        <v>1648.0</v>
      </c>
      <c r="I248" s="49">
        <v>14832.0</v>
      </c>
      <c r="J248" s="48">
        <v>10.0</v>
      </c>
      <c r="K248" s="49">
        <v>1483.0</v>
      </c>
      <c r="L248" s="49">
        <v>13349.0</v>
      </c>
      <c r="M248" s="48" t="s">
        <v>71</v>
      </c>
      <c r="N248" s="48" t="s">
        <v>56</v>
      </c>
      <c r="O248" s="48" t="s">
        <v>57</v>
      </c>
      <c r="P248" s="43"/>
      <c r="Q248" s="43" t="s">
        <v>46</v>
      </c>
      <c r="R248" s="43"/>
      <c r="S248" s="43"/>
      <c r="T248" s="43"/>
      <c r="U248" s="43"/>
      <c r="V248" s="43"/>
      <c r="W248" s="43"/>
      <c r="X248" s="43"/>
      <c r="Y248" s="43"/>
      <c r="Z248" s="43"/>
    </row>
    <row r="249" ht="14.25" customHeight="1">
      <c r="A249" s="46">
        <v>20012.0</v>
      </c>
      <c r="B249" s="44">
        <v>45880.0</v>
      </c>
      <c r="C249" s="46" t="s">
        <v>80</v>
      </c>
      <c r="D249" s="46" t="s">
        <v>64</v>
      </c>
      <c r="E249" s="46" t="s">
        <v>59</v>
      </c>
      <c r="F249" s="46" t="s">
        <v>79</v>
      </c>
      <c r="G249" s="46">
        <v>12.0</v>
      </c>
      <c r="H249" s="47">
        <v>151.0</v>
      </c>
      <c r="I249" s="47">
        <v>1812.0</v>
      </c>
      <c r="J249" s="46">
        <v>0.0</v>
      </c>
      <c r="K249" s="47">
        <v>0.0</v>
      </c>
      <c r="L249" s="47">
        <v>1812.0</v>
      </c>
      <c r="M249" s="46" t="s">
        <v>96</v>
      </c>
      <c r="N249" s="46" t="s">
        <v>56</v>
      </c>
      <c r="O249" s="46" t="s">
        <v>57</v>
      </c>
      <c r="P249" s="43"/>
      <c r="Q249" s="43"/>
      <c r="R249" s="43"/>
      <c r="S249" s="43"/>
      <c r="T249" s="43"/>
      <c r="U249" s="43"/>
      <c r="V249" s="43"/>
      <c r="W249" s="43"/>
      <c r="X249" s="43"/>
      <c r="Y249" s="43"/>
      <c r="Z249" s="43"/>
    </row>
    <row r="250" ht="14.25" customHeight="1">
      <c r="A250" s="46">
        <v>20338.0</v>
      </c>
      <c r="B250" s="44">
        <v>45882.0</v>
      </c>
      <c r="C250" s="46" t="s">
        <v>80</v>
      </c>
      <c r="D250" s="46" t="s">
        <v>64</v>
      </c>
      <c r="E250" s="46" t="s">
        <v>47</v>
      </c>
      <c r="F250" s="46" t="s">
        <v>27</v>
      </c>
      <c r="G250" s="46">
        <v>13.0</v>
      </c>
      <c r="H250" s="47">
        <v>734.0</v>
      </c>
      <c r="I250" s="47">
        <v>9542.0</v>
      </c>
      <c r="J250" s="46">
        <v>5.0</v>
      </c>
      <c r="K250" s="47">
        <v>477.0</v>
      </c>
      <c r="L250" s="47">
        <v>9065.0</v>
      </c>
      <c r="M250" s="46" t="s">
        <v>42</v>
      </c>
      <c r="N250" s="46" t="s">
        <v>62</v>
      </c>
      <c r="O250" s="46" t="s">
        <v>44</v>
      </c>
      <c r="P250" s="43"/>
      <c r="Q250" s="43"/>
      <c r="R250" s="43"/>
      <c r="S250" s="43"/>
      <c r="T250" s="43"/>
      <c r="U250" s="43"/>
      <c r="V250" s="43"/>
      <c r="W250" s="43"/>
      <c r="X250" s="43"/>
      <c r="Y250" s="43"/>
      <c r="Z250" s="43"/>
    </row>
    <row r="251" ht="14.25" customHeight="1">
      <c r="A251" s="48">
        <v>20339.0</v>
      </c>
      <c r="B251" s="44">
        <v>45883.0</v>
      </c>
      <c r="C251" s="48" t="s">
        <v>93</v>
      </c>
      <c r="D251" s="48" t="s">
        <v>25</v>
      </c>
      <c r="E251" s="48" t="s">
        <v>26</v>
      </c>
      <c r="F251" s="48" t="s">
        <v>74</v>
      </c>
      <c r="G251" s="48">
        <v>11.0</v>
      </c>
      <c r="H251" s="49">
        <v>441.0</v>
      </c>
      <c r="I251" s="49">
        <v>4851.0</v>
      </c>
      <c r="J251" s="48">
        <v>20.0</v>
      </c>
      <c r="K251" s="49">
        <v>970.0</v>
      </c>
      <c r="L251" s="49">
        <v>3881.0</v>
      </c>
      <c r="M251" s="48" t="s">
        <v>49</v>
      </c>
      <c r="N251" s="48" t="s">
        <v>56</v>
      </c>
      <c r="O251" s="48" t="s">
        <v>69</v>
      </c>
      <c r="P251" s="43"/>
      <c r="Q251" s="43"/>
      <c r="R251" s="43"/>
      <c r="S251" s="43"/>
      <c r="T251" s="43"/>
      <c r="U251" s="43"/>
      <c r="V251" s="43"/>
      <c r="W251" s="43"/>
      <c r="X251" s="43"/>
      <c r="Y251" s="43"/>
      <c r="Z251" s="43"/>
    </row>
    <row r="252" ht="14.25" customHeight="1">
      <c r="A252" s="46">
        <v>20098.0</v>
      </c>
      <c r="B252" s="44">
        <v>45885.0</v>
      </c>
      <c r="C252" s="46" t="s">
        <v>73</v>
      </c>
      <c r="D252" s="46" t="s">
        <v>52</v>
      </c>
      <c r="E252" s="46" t="s">
        <v>77</v>
      </c>
      <c r="F252" s="46" t="s">
        <v>101</v>
      </c>
      <c r="G252" s="46">
        <v>2.0</v>
      </c>
      <c r="H252" s="47">
        <v>5360.0</v>
      </c>
      <c r="I252" s="47">
        <v>10720.0</v>
      </c>
      <c r="J252" s="46">
        <v>5.0</v>
      </c>
      <c r="K252" s="47">
        <v>536.0</v>
      </c>
      <c r="L252" s="47">
        <v>10184.0</v>
      </c>
      <c r="M252" s="46" t="s">
        <v>96</v>
      </c>
      <c r="N252" s="46" t="s">
        <v>50</v>
      </c>
      <c r="O252" s="46" t="s">
        <v>69</v>
      </c>
      <c r="P252" s="43"/>
      <c r="Q252" s="43"/>
      <c r="R252" s="43"/>
      <c r="S252" s="43"/>
      <c r="T252" s="43"/>
      <c r="U252" s="43"/>
      <c r="V252" s="43"/>
      <c r="W252" s="43"/>
      <c r="X252" s="43"/>
      <c r="Y252" s="43"/>
      <c r="Z252" s="43"/>
    </row>
    <row r="253" ht="14.25" customHeight="1">
      <c r="A253" s="46">
        <v>20278.0</v>
      </c>
      <c r="B253" s="44">
        <v>45885.0</v>
      </c>
      <c r="C253" s="46" t="s">
        <v>76</v>
      </c>
      <c r="D253" s="46" t="s">
        <v>64</v>
      </c>
      <c r="E253" s="46" t="s">
        <v>26</v>
      </c>
      <c r="F253" s="46" t="s">
        <v>74</v>
      </c>
      <c r="G253" s="46">
        <v>2.0</v>
      </c>
      <c r="H253" s="47">
        <v>163.0</v>
      </c>
      <c r="I253" s="47">
        <v>326.0</v>
      </c>
      <c r="J253" s="46">
        <v>20.0</v>
      </c>
      <c r="K253" s="47">
        <v>65.0</v>
      </c>
      <c r="L253" s="47">
        <v>261.0</v>
      </c>
      <c r="M253" s="46" t="s">
        <v>61</v>
      </c>
      <c r="N253" s="46" t="s">
        <v>43</v>
      </c>
      <c r="O253" s="46" t="s">
        <v>69</v>
      </c>
      <c r="P253" s="43"/>
      <c r="Q253" s="43"/>
      <c r="R253" s="43"/>
      <c r="S253" s="43"/>
      <c r="T253" s="43"/>
      <c r="U253" s="43"/>
      <c r="V253" s="43"/>
      <c r="W253" s="43"/>
      <c r="X253" s="43"/>
      <c r="Y253" s="43"/>
      <c r="Z253" s="43"/>
    </row>
    <row r="254" ht="14.25" customHeight="1">
      <c r="A254" s="46">
        <v>20146.0</v>
      </c>
      <c r="B254" s="44">
        <v>45886.0</v>
      </c>
      <c r="C254" s="46" t="s">
        <v>24</v>
      </c>
      <c r="D254" s="46" t="s">
        <v>52</v>
      </c>
      <c r="E254" s="46" t="s">
        <v>77</v>
      </c>
      <c r="F254" s="46" t="s">
        <v>105</v>
      </c>
      <c r="G254" s="46">
        <v>8.0</v>
      </c>
      <c r="H254" s="47">
        <v>4562.0</v>
      </c>
      <c r="I254" s="47">
        <v>36496.0</v>
      </c>
      <c r="J254" s="46">
        <v>10.0</v>
      </c>
      <c r="K254" s="47">
        <v>3650.0</v>
      </c>
      <c r="L254" s="47">
        <v>32846.0</v>
      </c>
      <c r="M254" s="46" t="s">
        <v>61</v>
      </c>
      <c r="N254" s="46" t="s">
        <v>72</v>
      </c>
      <c r="O254" s="46" t="s">
        <v>57</v>
      </c>
      <c r="P254" s="43"/>
      <c r="Q254" s="43"/>
      <c r="R254" s="43"/>
      <c r="S254" s="43"/>
      <c r="T254" s="43"/>
      <c r="U254" s="43"/>
      <c r="V254" s="43"/>
      <c r="W254" s="43"/>
      <c r="X254" s="43"/>
      <c r="Y254" s="43"/>
      <c r="Z254" s="43"/>
    </row>
    <row r="255" ht="14.25" customHeight="1">
      <c r="A255" s="48">
        <v>20003.0</v>
      </c>
      <c r="B255" s="44">
        <v>45887.0</v>
      </c>
      <c r="C255" s="50" t="s">
        <v>89</v>
      </c>
      <c r="D255" s="48" t="s">
        <v>46</v>
      </c>
      <c r="E255" s="50" t="s">
        <v>53</v>
      </c>
      <c r="F255" s="48" t="s">
        <v>100</v>
      </c>
      <c r="G255" s="48">
        <v>12.0</v>
      </c>
      <c r="H255" s="49">
        <v>552.0</v>
      </c>
      <c r="I255" s="49">
        <v>6624.0</v>
      </c>
      <c r="J255" s="48">
        <v>20.0</v>
      </c>
      <c r="K255" s="49">
        <v>1325.0</v>
      </c>
      <c r="L255" s="49">
        <v>5299.0</v>
      </c>
      <c r="M255" s="48" t="s">
        <v>55</v>
      </c>
      <c r="N255" s="48" t="s">
        <v>62</v>
      </c>
      <c r="O255" s="48" t="s">
        <v>69</v>
      </c>
      <c r="P255" s="43"/>
      <c r="Q255" s="43"/>
      <c r="R255" s="43"/>
      <c r="S255" s="43"/>
      <c r="T255" s="43"/>
      <c r="U255" s="43"/>
      <c r="V255" s="43"/>
      <c r="W255" s="43"/>
      <c r="X255" s="43"/>
      <c r="Y255" s="43"/>
      <c r="Z255" s="43"/>
    </row>
    <row r="256" ht="14.25" customHeight="1">
      <c r="A256" s="48">
        <v>20225.0</v>
      </c>
      <c r="B256" s="44">
        <v>45887.0</v>
      </c>
      <c r="C256" s="48" t="s">
        <v>82</v>
      </c>
      <c r="D256" s="48" t="s">
        <v>52</v>
      </c>
      <c r="E256" s="48" t="s">
        <v>47</v>
      </c>
      <c r="F256" s="48" t="s">
        <v>27</v>
      </c>
      <c r="G256" s="48">
        <v>9.0</v>
      </c>
      <c r="H256" s="49">
        <v>2425.0</v>
      </c>
      <c r="I256" s="49">
        <v>21825.0</v>
      </c>
      <c r="J256" s="48">
        <v>0.0</v>
      </c>
      <c r="K256" s="49">
        <v>0.0</v>
      </c>
      <c r="L256" s="49">
        <v>21825.0</v>
      </c>
      <c r="M256" s="48" t="s">
        <v>55</v>
      </c>
      <c r="N256" s="48" t="s">
        <v>56</v>
      </c>
      <c r="O256" s="48" t="s">
        <v>57</v>
      </c>
      <c r="P256" s="43"/>
      <c r="Q256" s="43"/>
      <c r="R256" s="43"/>
      <c r="S256" s="43"/>
      <c r="T256" s="43"/>
      <c r="U256" s="43"/>
      <c r="V256" s="43"/>
      <c r="W256" s="43"/>
      <c r="X256" s="43"/>
      <c r="Y256" s="43"/>
      <c r="Z256" s="43"/>
    </row>
    <row r="257" ht="14.25" customHeight="1">
      <c r="A257" s="48">
        <v>20069.0</v>
      </c>
      <c r="B257" s="44">
        <v>45888.0</v>
      </c>
      <c r="C257" s="48" t="s">
        <v>82</v>
      </c>
      <c r="D257" s="48" t="s">
        <v>52</v>
      </c>
      <c r="E257" s="48" t="s">
        <v>53</v>
      </c>
      <c r="F257" s="48" t="s">
        <v>102</v>
      </c>
      <c r="G257" s="48">
        <v>4.0</v>
      </c>
      <c r="H257" s="49">
        <v>878.0</v>
      </c>
      <c r="I257" s="49">
        <v>3512.0</v>
      </c>
      <c r="J257" s="48">
        <v>0.0</v>
      </c>
      <c r="K257" s="49">
        <v>0.0</v>
      </c>
      <c r="L257" s="49">
        <v>3512.0</v>
      </c>
      <c r="M257" s="48" t="s">
        <v>106</v>
      </c>
      <c r="N257" s="48" t="s">
        <v>72</v>
      </c>
      <c r="O257" s="48" t="s">
        <v>57</v>
      </c>
      <c r="P257" s="43"/>
      <c r="Q257" s="43"/>
      <c r="R257" s="43"/>
      <c r="S257" s="43"/>
      <c r="T257" s="43"/>
      <c r="U257" s="43"/>
      <c r="V257" s="43"/>
      <c r="W257" s="43"/>
      <c r="X257" s="43"/>
      <c r="Y257" s="43"/>
      <c r="Z257" s="43"/>
    </row>
    <row r="258" ht="14.25" customHeight="1">
      <c r="A258" s="46">
        <v>20232.0</v>
      </c>
      <c r="B258" s="44">
        <v>45888.0</v>
      </c>
      <c r="C258" s="46" t="s">
        <v>24</v>
      </c>
      <c r="D258" s="46" t="s">
        <v>52</v>
      </c>
      <c r="E258" s="46" t="s">
        <v>59</v>
      </c>
      <c r="F258" s="46" t="s">
        <v>79</v>
      </c>
      <c r="G258" s="46">
        <v>12.0</v>
      </c>
      <c r="H258" s="47">
        <v>445.0</v>
      </c>
      <c r="I258" s="47">
        <v>5340.0</v>
      </c>
      <c r="J258" s="46">
        <v>10.0</v>
      </c>
      <c r="K258" s="47">
        <v>534.0</v>
      </c>
      <c r="L258" s="47">
        <v>4806.0</v>
      </c>
      <c r="M258" s="46" t="s">
        <v>71</v>
      </c>
      <c r="N258" s="46" t="s">
        <v>56</v>
      </c>
      <c r="O258" s="46" t="s">
        <v>69</v>
      </c>
      <c r="P258" s="43"/>
      <c r="Q258" s="43"/>
      <c r="R258" s="43"/>
      <c r="S258" s="43"/>
      <c r="T258" s="43"/>
      <c r="U258" s="43"/>
      <c r="V258" s="43"/>
      <c r="W258" s="43"/>
      <c r="X258" s="43"/>
      <c r="Y258" s="43"/>
      <c r="Z258" s="43"/>
    </row>
    <row r="259" ht="14.25" customHeight="1">
      <c r="A259" s="48">
        <v>20151.0</v>
      </c>
      <c r="B259" s="44">
        <v>45889.0</v>
      </c>
      <c r="C259" s="48" t="s">
        <v>80</v>
      </c>
      <c r="D259" s="48" t="s">
        <v>64</v>
      </c>
      <c r="E259" s="48" t="s">
        <v>59</v>
      </c>
      <c r="F259" s="48" t="s">
        <v>79</v>
      </c>
      <c r="G259" s="48">
        <v>13.0</v>
      </c>
      <c r="H259" s="49">
        <v>423.0</v>
      </c>
      <c r="I259" s="49">
        <v>5499.0</v>
      </c>
      <c r="J259" s="48">
        <v>10.0</v>
      </c>
      <c r="K259" s="49">
        <v>550.0</v>
      </c>
      <c r="L259" s="49">
        <v>4949.0</v>
      </c>
      <c r="M259" s="48" t="s">
        <v>87</v>
      </c>
      <c r="N259" s="48" t="s">
        <v>72</v>
      </c>
      <c r="O259" s="48" t="s">
        <v>44</v>
      </c>
      <c r="P259" s="43"/>
      <c r="Q259" s="43"/>
      <c r="R259" s="43"/>
      <c r="S259" s="43"/>
      <c r="T259" s="43"/>
      <c r="U259" s="43"/>
      <c r="V259" s="43"/>
      <c r="W259" s="43"/>
      <c r="X259" s="43"/>
      <c r="Y259" s="43"/>
      <c r="Z259" s="43"/>
    </row>
    <row r="260" ht="14.25" customHeight="1">
      <c r="A260" s="46">
        <v>20350.0</v>
      </c>
      <c r="B260" s="44">
        <v>45889.0</v>
      </c>
      <c r="C260" s="46" t="s">
        <v>76</v>
      </c>
      <c r="D260" s="46" t="s">
        <v>64</v>
      </c>
      <c r="E260" s="46" t="s">
        <v>77</v>
      </c>
      <c r="F260" s="46" t="s">
        <v>110</v>
      </c>
      <c r="G260" s="46">
        <v>10.0</v>
      </c>
      <c r="H260" s="47">
        <v>3348.0</v>
      </c>
      <c r="I260" s="47">
        <v>33480.0</v>
      </c>
      <c r="J260" s="46">
        <v>15.0</v>
      </c>
      <c r="K260" s="47">
        <v>5022.0</v>
      </c>
      <c r="L260" s="47">
        <v>28458.0</v>
      </c>
      <c r="M260" s="46" t="s">
        <v>87</v>
      </c>
      <c r="N260" s="46" t="s">
        <v>50</v>
      </c>
      <c r="O260" s="46" t="s">
        <v>69</v>
      </c>
      <c r="P260" s="43"/>
      <c r="Q260" s="43"/>
      <c r="R260" s="43"/>
      <c r="S260" s="43"/>
      <c r="T260" s="43"/>
      <c r="U260" s="43"/>
      <c r="V260" s="43"/>
      <c r="W260" s="43"/>
      <c r="X260" s="43"/>
      <c r="Y260" s="43"/>
      <c r="Z260" s="43"/>
    </row>
    <row r="261" ht="14.25" customHeight="1">
      <c r="A261" s="48">
        <v>20099.0</v>
      </c>
      <c r="B261" s="44">
        <v>45890.0</v>
      </c>
      <c r="C261" s="48" t="s">
        <v>92</v>
      </c>
      <c r="D261" s="48" t="s">
        <v>25</v>
      </c>
      <c r="E261" s="48" t="s">
        <v>77</v>
      </c>
      <c r="F261" s="48" t="s">
        <v>105</v>
      </c>
      <c r="G261" s="48">
        <v>11.0</v>
      </c>
      <c r="H261" s="49">
        <v>1314.0</v>
      </c>
      <c r="I261" s="49">
        <v>14454.0</v>
      </c>
      <c r="J261" s="48">
        <v>20.0</v>
      </c>
      <c r="K261" s="49">
        <v>2891.0</v>
      </c>
      <c r="L261" s="49">
        <v>11563.0</v>
      </c>
      <c r="M261" s="48" t="s">
        <v>49</v>
      </c>
      <c r="N261" s="48" t="s">
        <v>50</v>
      </c>
      <c r="O261" s="48" t="s">
        <v>69</v>
      </c>
      <c r="P261" s="43"/>
      <c r="Q261" s="43"/>
      <c r="R261" s="43"/>
      <c r="S261" s="43"/>
      <c r="T261" s="43"/>
      <c r="U261" s="43"/>
      <c r="V261" s="43"/>
      <c r="W261" s="43"/>
      <c r="X261" s="43"/>
      <c r="Y261" s="43"/>
      <c r="Z261" s="43"/>
    </row>
    <row r="262" ht="14.25" customHeight="1">
      <c r="A262" s="48">
        <v>20185.0</v>
      </c>
      <c r="B262" s="44">
        <v>45890.0</v>
      </c>
      <c r="C262" s="48" t="s">
        <v>45</v>
      </c>
      <c r="D262" s="48" t="s">
        <v>46</v>
      </c>
      <c r="E262" s="48" t="s">
        <v>59</v>
      </c>
      <c r="F262" s="48" t="s">
        <v>83</v>
      </c>
      <c r="G262" s="48">
        <v>15.0</v>
      </c>
      <c r="H262" s="49">
        <v>400.0</v>
      </c>
      <c r="I262" s="49">
        <v>6000.0</v>
      </c>
      <c r="J262" s="48">
        <v>20.0</v>
      </c>
      <c r="K262" s="49">
        <v>1200.0</v>
      </c>
      <c r="L262" s="49">
        <v>4800.0</v>
      </c>
      <c r="M262" s="48" t="s">
        <v>106</v>
      </c>
      <c r="N262" s="48" t="s">
        <v>56</v>
      </c>
      <c r="O262" s="48" t="s">
        <v>69</v>
      </c>
      <c r="P262" s="43"/>
      <c r="Q262" s="43"/>
      <c r="R262" s="43"/>
      <c r="S262" s="43"/>
      <c r="T262" s="43"/>
      <c r="U262" s="43"/>
      <c r="V262" s="43"/>
      <c r="W262" s="43"/>
      <c r="X262" s="43"/>
      <c r="Y262" s="43"/>
      <c r="Z262" s="43"/>
    </row>
    <row r="263" ht="14.25" customHeight="1">
      <c r="A263" s="46">
        <v>20188.0</v>
      </c>
      <c r="B263" s="44">
        <v>45891.0</v>
      </c>
      <c r="C263" s="46" t="s">
        <v>93</v>
      </c>
      <c r="D263" s="46" t="s">
        <v>25</v>
      </c>
      <c r="E263" s="46" t="s">
        <v>47</v>
      </c>
      <c r="F263" s="46" t="s">
        <v>27</v>
      </c>
      <c r="G263" s="46">
        <v>11.0</v>
      </c>
      <c r="H263" s="47">
        <v>1241.0</v>
      </c>
      <c r="I263" s="47">
        <v>13651.0</v>
      </c>
      <c r="J263" s="46">
        <v>20.0</v>
      </c>
      <c r="K263" s="47">
        <v>2730.0</v>
      </c>
      <c r="L263" s="47">
        <v>10921.0</v>
      </c>
      <c r="M263" s="46" t="s">
        <v>81</v>
      </c>
      <c r="N263" s="46" t="s">
        <v>50</v>
      </c>
      <c r="O263" s="46" t="s">
        <v>57</v>
      </c>
      <c r="P263" s="43"/>
      <c r="Q263" s="43"/>
      <c r="R263" s="43"/>
      <c r="S263" s="43"/>
      <c r="T263" s="43"/>
      <c r="U263" s="43"/>
      <c r="V263" s="43"/>
      <c r="W263" s="43"/>
      <c r="X263" s="43"/>
      <c r="Y263" s="43"/>
      <c r="Z263" s="43"/>
    </row>
    <row r="264" ht="14.25" customHeight="1">
      <c r="A264" s="48">
        <v>20009.0</v>
      </c>
      <c r="B264" s="44">
        <v>45892.0</v>
      </c>
      <c r="C264" s="48" t="s">
        <v>76</v>
      </c>
      <c r="D264" s="48" t="s">
        <v>64</v>
      </c>
      <c r="E264" s="48" t="s">
        <v>53</v>
      </c>
      <c r="F264" s="48" t="s">
        <v>75</v>
      </c>
      <c r="G264" s="48">
        <v>4.0</v>
      </c>
      <c r="H264" s="49">
        <v>1496.0</v>
      </c>
      <c r="I264" s="49">
        <v>5984.0</v>
      </c>
      <c r="J264" s="48">
        <v>0.0</v>
      </c>
      <c r="K264" s="49">
        <v>0.0</v>
      </c>
      <c r="L264" s="49">
        <v>5984.0</v>
      </c>
      <c r="M264" s="48" t="s">
        <v>106</v>
      </c>
      <c r="N264" s="48" t="s">
        <v>50</v>
      </c>
      <c r="O264" s="48" t="s">
        <v>57</v>
      </c>
      <c r="P264" s="43"/>
      <c r="Q264" s="43"/>
      <c r="R264" s="43"/>
      <c r="S264" s="43"/>
      <c r="T264" s="43"/>
      <c r="U264" s="43"/>
      <c r="V264" s="43"/>
      <c r="W264" s="43"/>
      <c r="X264" s="43"/>
      <c r="Y264" s="43"/>
      <c r="Z264" s="43"/>
    </row>
    <row r="265" ht="14.25" customHeight="1">
      <c r="A265" s="46">
        <v>20348.0</v>
      </c>
      <c r="B265" s="44">
        <v>45892.0</v>
      </c>
      <c r="C265" s="46" t="s">
        <v>76</v>
      </c>
      <c r="D265" s="46" t="s">
        <v>64</v>
      </c>
      <c r="E265" s="46" t="s">
        <v>59</v>
      </c>
      <c r="F265" s="46" t="s">
        <v>79</v>
      </c>
      <c r="G265" s="46">
        <v>9.0</v>
      </c>
      <c r="H265" s="47">
        <v>359.0</v>
      </c>
      <c r="I265" s="47">
        <v>3231.0</v>
      </c>
      <c r="J265" s="46">
        <v>10.0</v>
      </c>
      <c r="K265" s="47">
        <v>323.0</v>
      </c>
      <c r="L265" s="47">
        <v>2908.0</v>
      </c>
      <c r="M265" s="46" t="s">
        <v>68</v>
      </c>
      <c r="N265" s="46" t="s">
        <v>56</v>
      </c>
      <c r="O265" s="46" t="s">
        <v>69</v>
      </c>
      <c r="P265" s="43"/>
      <c r="Q265" s="43"/>
      <c r="R265" s="43"/>
      <c r="S265" s="43"/>
      <c r="T265" s="43"/>
      <c r="U265" s="43"/>
      <c r="V265" s="43"/>
      <c r="W265" s="43"/>
      <c r="X265" s="43"/>
      <c r="Y265" s="43"/>
      <c r="Z265" s="43"/>
    </row>
    <row r="266" ht="14.25" customHeight="1">
      <c r="A266" s="46">
        <v>20124.0</v>
      </c>
      <c r="B266" s="44">
        <v>45894.0</v>
      </c>
      <c r="C266" s="46" t="s">
        <v>93</v>
      </c>
      <c r="D266" s="46" t="s">
        <v>25</v>
      </c>
      <c r="E266" s="46" t="s">
        <v>59</v>
      </c>
      <c r="F266" s="46" t="s">
        <v>83</v>
      </c>
      <c r="G266" s="46">
        <v>11.0</v>
      </c>
      <c r="H266" s="47">
        <v>303.0</v>
      </c>
      <c r="I266" s="47">
        <v>3333.0</v>
      </c>
      <c r="J266" s="46">
        <v>0.0</v>
      </c>
      <c r="K266" s="47">
        <v>0.0</v>
      </c>
      <c r="L266" s="47">
        <v>3333.0</v>
      </c>
      <c r="M266" s="46" t="s">
        <v>81</v>
      </c>
      <c r="N266" s="46" t="s">
        <v>43</v>
      </c>
      <c r="O266" s="46" t="s">
        <v>69</v>
      </c>
      <c r="P266" s="43"/>
      <c r="Q266" s="43"/>
      <c r="R266" s="43"/>
      <c r="S266" s="43"/>
      <c r="T266" s="43"/>
      <c r="U266" s="43"/>
      <c r="V266" s="43"/>
      <c r="W266" s="43"/>
      <c r="X266" s="43"/>
      <c r="Y266" s="43"/>
      <c r="Z266" s="43"/>
    </row>
    <row r="267" ht="14.25" customHeight="1">
      <c r="A267" s="48">
        <v>20417.0</v>
      </c>
      <c r="B267" s="44">
        <v>45895.0</v>
      </c>
      <c r="C267" s="48" t="s">
        <v>76</v>
      </c>
      <c r="D267" s="48" t="s">
        <v>64</v>
      </c>
      <c r="E267" s="48" t="s">
        <v>77</v>
      </c>
      <c r="F267" s="48" t="s">
        <v>105</v>
      </c>
      <c r="G267" s="48">
        <v>13.0</v>
      </c>
      <c r="H267" s="49">
        <v>4355.0</v>
      </c>
      <c r="I267" s="49">
        <v>56615.0</v>
      </c>
      <c r="J267" s="48">
        <v>20.0</v>
      </c>
      <c r="K267" s="49">
        <v>11323.0</v>
      </c>
      <c r="L267" s="49">
        <v>45292.0</v>
      </c>
      <c r="M267" s="48" t="s">
        <v>71</v>
      </c>
      <c r="N267" s="48" t="s">
        <v>62</v>
      </c>
      <c r="O267" s="48" t="s">
        <v>69</v>
      </c>
      <c r="P267" s="43"/>
      <c r="Q267" s="43"/>
      <c r="R267" s="43"/>
      <c r="S267" s="43"/>
      <c r="T267" s="43"/>
      <c r="U267" s="43"/>
      <c r="V267" s="43"/>
      <c r="W267" s="43"/>
      <c r="X267" s="43"/>
      <c r="Y267" s="43"/>
      <c r="Z267" s="43"/>
    </row>
    <row r="268" ht="14.25" customHeight="1">
      <c r="A268" s="46">
        <v>20358.0</v>
      </c>
      <c r="B268" s="44">
        <v>45896.0</v>
      </c>
      <c r="C268" s="46" t="s">
        <v>76</v>
      </c>
      <c r="D268" s="46" t="s">
        <v>64</v>
      </c>
      <c r="E268" s="46" t="s">
        <v>26</v>
      </c>
      <c r="F268" s="46" t="s">
        <v>100</v>
      </c>
      <c r="G268" s="46">
        <v>15.0</v>
      </c>
      <c r="H268" s="47">
        <v>450.0</v>
      </c>
      <c r="I268" s="47">
        <v>6750.0</v>
      </c>
      <c r="J268" s="46">
        <v>5.0</v>
      </c>
      <c r="K268" s="47">
        <v>338.0</v>
      </c>
      <c r="L268" s="47">
        <v>6412.0</v>
      </c>
      <c r="M268" s="46" t="s">
        <v>49</v>
      </c>
      <c r="N268" s="46" t="s">
        <v>56</v>
      </c>
      <c r="O268" s="46" t="s">
        <v>44</v>
      </c>
      <c r="P268" s="43"/>
      <c r="Q268" s="43"/>
      <c r="R268" s="43"/>
      <c r="S268" s="43"/>
      <c r="T268" s="43"/>
      <c r="U268" s="43"/>
      <c r="V268" s="43"/>
      <c r="W268" s="43"/>
      <c r="X268" s="43"/>
      <c r="Y268" s="43"/>
      <c r="Z268" s="43"/>
    </row>
    <row r="269" ht="14.25" customHeight="1">
      <c r="A269" s="46">
        <v>20052.0</v>
      </c>
      <c r="B269" s="44">
        <v>45898.0</v>
      </c>
      <c r="C269" s="46" t="s">
        <v>97</v>
      </c>
      <c r="D269" s="46" t="s">
        <v>25</v>
      </c>
      <c r="E269" s="46" t="s">
        <v>47</v>
      </c>
      <c r="F269" s="46" t="s">
        <v>91</v>
      </c>
      <c r="G269" s="46">
        <v>6.0</v>
      </c>
      <c r="H269" s="47">
        <v>363.0</v>
      </c>
      <c r="I269" s="47">
        <v>2178.0</v>
      </c>
      <c r="J269" s="46">
        <v>20.0</v>
      </c>
      <c r="K269" s="47">
        <v>436.0</v>
      </c>
      <c r="L269" s="47">
        <v>1742.0</v>
      </c>
      <c r="M269" s="46" t="s">
        <v>81</v>
      </c>
      <c r="N269" s="46" t="s">
        <v>50</v>
      </c>
      <c r="O269" s="46" t="s">
        <v>69</v>
      </c>
      <c r="P269" s="43"/>
      <c r="Q269" s="43"/>
      <c r="R269" s="43"/>
      <c r="S269" s="43"/>
      <c r="T269" s="43"/>
      <c r="U269" s="43"/>
      <c r="V269" s="43"/>
      <c r="W269" s="43"/>
      <c r="X269" s="43"/>
      <c r="Y269" s="43"/>
      <c r="Z269" s="43"/>
    </row>
    <row r="270" ht="14.25" customHeight="1">
      <c r="A270" s="48">
        <v>20065.0</v>
      </c>
      <c r="B270" s="44">
        <v>45898.0</v>
      </c>
      <c r="C270" s="48" t="s">
        <v>82</v>
      </c>
      <c r="D270" s="48" t="s">
        <v>52</v>
      </c>
      <c r="E270" s="48" t="s">
        <v>59</v>
      </c>
      <c r="F270" s="48" t="s">
        <v>85</v>
      </c>
      <c r="G270" s="48">
        <v>3.0</v>
      </c>
      <c r="H270" s="49">
        <v>118.0</v>
      </c>
      <c r="I270" s="49">
        <v>354.0</v>
      </c>
      <c r="J270" s="48">
        <v>5.0</v>
      </c>
      <c r="K270" s="49">
        <v>18.0</v>
      </c>
      <c r="L270" s="49">
        <v>336.0</v>
      </c>
      <c r="M270" s="48" t="s">
        <v>42</v>
      </c>
      <c r="N270" s="48" t="s">
        <v>62</v>
      </c>
      <c r="O270" s="48" t="s">
        <v>57</v>
      </c>
      <c r="P270" s="43"/>
      <c r="Q270" s="43"/>
      <c r="R270" s="43"/>
      <c r="S270" s="43"/>
      <c r="T270" s="43"/>
      <c r="U270" s="43"/>
      <c r="V270" s="43"/>
      <c r="W270" s="43"/>
      <c r="X270" s="43"/>
      <c r="Y270" s="43"/>
      <c r="Z270" s="43"/>
    </row>
    <row r="271" ht="14.25" customHeight="1">
      <c r="A271" s="48">
        <v>20321.0</v>
      </c>
      <c r="B271" s="44">
        <v>45898.0</v>
      </c>
      <c r="C271" s="48" t="s">
        <v>93</v>
      </c>
      <c r="D271" s="48" t="s">
        <v>25</v>
      </c>
      <c r="E271" s="48" t="s">
        <v>47</v>
      </c>
      <c r="F271" s="48" t="s">
        <v>103</v>
      </c>
      <c r="G271" s="48">
        <v>10.0</v>
      </c>
      <c r="H271" s="49">
        <v>689.0</v>
      </c>
      <c r="I271" s="49">
        <v>6890.0</v>
      </c>
      <c r="J271" s="48">
        <v>20.0</v>
      </c>
      <c r="K271" s="49">
        <v>1378.0</v>
      </c>
      <c r="L271" s="49">
        <v>5512.0</v>
      </c>
      <c r="M271" s="48" t="s">
        <v>61</v>
      </c>
      <c r="N271" s="48" t="s">
        <v>56</v>
      </c>
      <c r="O271" s="48" t="s">
        <v>44</v>
      </c>
      <c r="P271" s="43"/>
      <c r="Q271" s="43"/>
      <c r="R271" s="43"/>
      <c r="S271" s="43"/>
      <c r="T271" s="43"/>
      <c r="U271" s="43"/>
      <c r="V271" s="43"/>
      <c r="W271" s="43"/>
      <c r="X271" s="43"/>
      <c r="Y271" s="43"/>
      <c r="Z271" s="43"/>
    </row>
    <row r="272" ht="14.25" customHeight="1">
      <c r="A272" s="48">
        <v>20079.0</v>
      </c>
      <c r="B272" s="44">
        <v>45899.0</v>
      </c>
      <c r="C272" s="48" t="s">
        <v>63</v>
      </c>
      <c r="D272" s="48" t="s">
        <v>64</v>
      </c>
      <c r="E272" s="48" t="s">
        <v>59</v>
      </c>
      <c r="F272" s="48" t="s">
        <v>83</v>
      </c>
      <c r="G272" s="48">
        <v>3.0</v>
      </c>
      <c r="H272" s="49">
        <v>320.0</v>
      </c>
      <c r="I272" s="49">
        <v>960.0</v>
      </c>
      <c r="J272" s="48">
        <v>20.0</v>
      </c>
      <c r="K272" s="49">
        <v>192.0</v>
      </c>
      <c r="L272" s="49">
        <v>768.0</v>
      </c>
      <c r="M272" s="48" t="s">
        <v>71</v>
      </c>
      <c r="N272" s="48" t="s">
        <v>72</v>
      </c>
      <c r="O272" s="48" t="s">
        <v>44</v>
      </c>
      <c r="P272" s="43"/>
      <c r="Q272" s="43"/>
      <c r="R272" s="43"/>
      <c r="S272" s="43"/>
      <c r="T272" s="43"/>
      <c r="U272" s="43"/>
      <c r="V272" s="43"/>
      <c r="W272" s="43"/>
      <c r="X272" s="43"/>
      <c r="Y272" s="43"/>
      <c r="Z272" s="43"/>
    </row>
    <row r="273" ht="14.25" customHeight="1">
      <c r="A273" s="48">
        <v>20265.0</v>
      </c>
      <c r="B273" s="44">
        <v>45899.0</v>
      </c>
      <c r="C273" s="48" t="s">
        <v>45</v>
      </c>
      <c r="D273" s="48" t="s">
        <v>46</v>
      </c>
      <c r="E273" s="48" t="s">
        <v>59</v>
      </c>
      <c r="F273" s="48" t="s">
        <v>60</v>
      </c>
      <c r="G273" s="48">
        <v>3.0</v>
      </c>
      <c r="H273" s="49">
        <v>439.0</v>
      </c>
      <c r="I273" s="49">
        <v>1317.0</v>
      </c>
      <c r="J273" s="48">
        <v>0.0</v>
      </c>
      <c r="K273" s="49">
        <v>0.0</v>
      </c>
      <c r="L273" s="49">
        <v>1317.0</v>
      </c>
      <c r="M273" s="48" t="s">
        <v>55</v>
      </c>
      <c r="N273" s="48" t="s">
        <v>50</v>
      </c>
      <c r="O273" s="48" t="s">
        <v>44</v>
      </c>
      <c r="P273" s="43"/>
      <c r="Q273" s="43"/>
      <c r="R273" s="43"/>
      <c r="S273" s="43"/>
      <c r="T273" s="43"/>
      <c r="U273" s="43"/>
      <c r="V273" s="43"/>
      <c r="W273" s="43"/>
      <c r="X273" s="43"/>
      <c r="Y273" s="43"/>
      <c r="Z273" s="43"/>
    </row>
    <row r="274" ht="14.25" customHeight="1">
      <c r="A274" s="48">
        <v>20015.0</v>
      </c>
      <c r="B274" s="44">
        <v>45901.0</v>
      </c>
      <c r="C274" s="48" t="s">
        <v>80</v>
      </c>
      <c r="D274" s="48" t="s">
        <v>64</v>
      </c>
      <c r="E274" s="48" t="s">
        <v>53</v>
      </c>
      <c r="F274" s="48" t="s">
        <v>54</v>
      </c>
      <c r="G274" s="48">
        <v>14.0</v>
      </c>
      <c r="H274" s="49">
        <v>1403.0</v>
      </c>
      <c r="I274" s="49">
        <v>19642.0</v>
      </c>
      <c r="J274" s="48">
        <v>15.0</v>
      </c>
      <c r="K274" s="49">
        <v>2946.0</v>
      </c>
      <c r="L274" s="49">
        <v>16696.0</v>
      </c>
      <c r="M274" s="48" t="s">
        <v>96</v>
      </c>
      <c r="N274" s="48" t="s">
        <v>43</v>
      </c>
      <c r="O274" s="48" t="s">
        <v>57</v>
      </c>
      <c r="P274" s="43"/>
      <c r="Q274" s="43"/>
      <c r="R274" s="43"/>
      <c r="S274" s="43"/>
      <c r="T274" s="43"/>
      <c r="U274" s="43"/>
      <c r="V274" s="43"/>
      <c r="W274" s="43"/>
      <c r="X274" s="43"/>
      <c r="Y274" s="43"/>
      <c r="Z274" s="43"/>
    </row>
    <row r="275" ht="14.25" customHeight="1">
      <c r="A275" s="48">
        <v>20169.0</v>
      </c>
      <c r="B275" s="44">
        <v>45901.0</v>
      </c>
      <c r="C275" s="48" t="s">
        <v>97</v>
      </c>
      <c r="D275" s="48" t="s">
        <v>25</v>
      </c>
      <c r="E275" s="48" t="s">
        <v>53</v>
      </c>
      <c r="F275" s="48" t="s">
        <v>95</v>
      </c>
      <c r="G275" s="48">
        <v>11.0</v>
      </c>
      <c r="H275" s="49">
        <v>1494.0</v>
      </c>
      <c r="I275" s="49">
        <v>16434.0</v>
      </c>
      <c r="J275" s="48">
        <v>10.0</v>
      </c>
      <c r="K275" s="49">
        <v>1643.0</v>
      </c>
      <c r="L275" s="49">
        <v>14791.0</v>
      </c>
      <c r="M275" s="48" t="s">
        <v>42</v>
      </c>
      <c r="N275" s="48" t="s">
        <v>72</v>
      </c>
      <c r="O275" s="48" t="s">
        <v>57</v>
      </c>
      <c r="P275" s="43"/>
      <c r="Q275" s="43"/>
      <c r="R275" s="43"/>
      <c r="S275" s="43"/>
      <c r="T275" s="43"/>
      <c r="U275" s="43"/>
      <c r="V275" s="43"/>
      <c r="W275" s="43"/>
      <c r="X275" s="43"/>
      <c r="Y275" s="43"/>
      <c r="Z275" s="43"/>
    </row>
    <row r="276" ht="14.25" customHeight="1">
      <c r="A276" s="48">
        <v>20301.0</v>
      </c>
      <c r="B276" s="44">
        <v>45901.0</v>
      </c>
      <c r="C276" s="48" t="s">
        <v>89</v>
      </c>
      <c r="D276" s="48" t="s">
        <v>46</v>
      </c>
      <c r="E276" s="48" t="s">
        <v>26</v>
      </c>
      <c r="F276" s="48" t="s">
        <v>111</v>
      </c>
      <c r="G276" s="48">
        <v>15.0</v>
      </c>
      <c r="H276" s="49">
        <v>155.0</v>
      </c>
      <c r="I276" s="49">
        <v>2325.0</v>
      </c>
      <c r="J276" s="48">
        <v>0.0</v>
      </c>
      <c r="K276" s="49">
        <v>0.0</v>
      </c>
      <c r="L276" s="49">
        <v>2325.0</v>
      </c>
      <c r="M276" s="48" t="s">
        <v>42</v>
      </c>
      <c r="N276" s="48" t="s">
        <v>50</v>
      </c>
      <c r="O276" s="48" t="s">
        <v>69</v>
      </c>
      <c r="P276" s="43"/>
      <c r="Q276" s="43"/>
      <c r="R276" s="43"/>
      <c r="S276" s="43"/>
      <c r="T276" s="43"/>
      <c r="U276" s="43"/>
      <c r="V276" s="43"/>
      <c r="W276" s="43"/>
      <c r="X276" s="43"/>
      <c r="Y276" s="43"/>
      <c r="Z276" s="43"/>
    </row>
    <row r="277" ht="14.25" customHeight="1">
      <c r="A277" s="46">
        <v>20352.0</v>
      </c>
      <c r="B277" s="44">
        <v>45903.0</v>
      </c>
      <c r="C277" s="46" t="s">
        <v>24</v>
      </c>
      <c r="D277" s="46" t="s">
        <v>52</v>
      </c>
      <c r="E277" s="46" t="s">
        <v>47</v>
      </c>
      <c r="F277" s="46" t="s">
        <v>67</v>
      </c>
      <c r="G277" s="46">
        <v>15.0</v>
      </c>
      <c r="H277" s="47">
        <v>635.0</v>
      </c>
      <c r="I277" s="47">
        <v>9525.0</v>
      </c>
      <c r="J277" s="46">
        <v>0.0</v>
      </c>
      <c r="K277" s="47">
        <v>0.0</v>
      </c>
      <c r="L277" s="47">
        <v>9525.0</v>
      </c>
      <c r="M277" s="46" t="s">
        <v>61</v>
      </c>
      <c r="N277" s="46" t="s">
        <v>50</v>
      </c>
      <c r="O277" s="46" t="s">
        <v>69</v>
      </c>
      <c r="P277" s="43"/>
      <c r="Q277" s="43"/>
      <c r="R277" s="43"/>
      <c r="S277" s="43"/>
      <c r="T277" s="43"/>
      <c r="U277" s="43"/>
      <c r="V277" s="43"/>
      <c r="W277" s="43"/>
      <c r="X277" s="43"/>
      <c r="Y277" s="43"/>
      <c r="Z277" s="43"/>
    </row>
    <row r="278" ht="14.25" customHeight="1">
      <c r="A278" s="46">
        <v>20384.0</v>
      </c>
      <c r="B278" s="44">
        <v>45903.0</v>
      </c>
      <c r="C278" s="46" t="s">
        <v>82</v>
      </c>
      <c r="D278" s="46" t="s">
        <v>52</v>
      </c>
      <c r="E278" s="46" t="s">
        <v>77</v>
      </c>
      <c r="F278" s="46" t="s">
        <v>88</v>
      </c>
      <c r="G278" s="46">
        <v>3.0</v>
      </c>
      <c r="H278" s="47">
        <v>1083.0</v>
      </c>
      <c r="I278" s="47">
        <v>3249.0</v>
      </c>
      <c r="J278" s="46">
        <v>10.0</v>
      </c>
      <c r="K278" s="47">
        <v>325.0</v>
      </c>
      <c r="L278" s="47">
        <v>2924.0</v>
      </c>
      <c r="M278" s="46" t="s">
        <v>49</v>
      </c>
      <c r="N278" s="46" t="s">
        <v>50</v>
      </c>
      <c r="O278" s="46" t="s">
        <v>69</v>
      </c>
      <c r="P278" s="43"/>
      <c r="Q278" s="43"/>
      <c r="R278" s="43"/>
      <c r="S278" s="43"/>
      <c r="T278" s="43"/>
      <c r="U278" s="43"/>
      <c r="V278" s="43"/>
      <c r="W278" s="43"/>
      <c r="X278" s="43"/>
      <c r="Y278" s="43"/>
      <c r="Z278" s="43"/>
    </row>
    <row r="279" ht="14.25" customHeight="1">
      <c r="A279" s="48">
        <v>20081.0</v>
      </c>
      <c r="B279" s="44">
        <v>45905.0</v>
      </c>
      <c r="C279" s="48" t="s">
        <v>45</v>
      </c>
      <c r="D279" s="48" t="s">
        <v>46</v>
      </c>
      <c r="E279" s="48" t="s">
        <v>53</v>
      </c>
      <c r="F279" s="48" t="s">
        <v>54</v>
      </c>
      <c r="G279" s="48">
        <v>13.0</v>
      </c>
      <c r="H279" s="49">
        <v>958.0</v>
      </c>
      <c r="I279" s="49">
        <v>12454.0</v>
      </c>
      <c r="J279" s="48">
        <v>10.0</v>
      </c>
      <c r="K279" s="49">
        <v>1245.0</v>
      </c>
      <c r="L279" s="49">
        <v>11209.0</v>
      </c>
      <c r="M279" s="48" t="s">
        <v>61</v>
      </c>
      <c r="N279" s="48" t="s">
        <v>50</v>
      </c>
      <c r="O279" s="48" t="s">
        <v>44</v>
      </c>
      <c r="P279" s="43"/>
      <c r="Q279" s="43"/>
      <c r="R279" s="43"/>
      <c r="S279" s="43"/>
      <c r="T279" s="43"/>
      <c r="U279" s="43"/>
      <c r="V279" s="43"/>
      <c r="W279" s="43"/>
      <c r="X279" s="43"/>
      <c r="Y279" s="43"/>
      <c r="Z279" s="43"/>
    </row>
    <row r="280" ht="14.25" customHeight="1">
      <c r="A280" s="48">
        <v>20379.0</v>
      </c>
      <c r="B280" s="44">
        <v>45905.0</v>
      </c>
      <c r="C280" s="48" t="s">
        <v>45</v>
      </c>
      <c r="D280" s="48" t="s">
        <v>46</v>
      </c>
      <c r="E280" s="48" t="s">
        <v>26</v>
      </c>
      <c r="F280" s="48" t="s">
        <v>100</v>
      </c>
      <c r="G280" s="48">
        <v>13.0</v>
      </c>
      <c r="H280" s="49">
        <v>619.0</v>
      </c>
      <c r="I280" s="49">
        <v>8047.0</v>
      </c>
      <c r="J280" s="48">
        <v>0.0</v>
      </c>
      <c r="K280" s="49">
        <v>0.0</v>
      </c>
      <c r="L280" s="49">
        <v>8047.0</v>
      </c>
      <c r="M280" s="48" t="s">
        <v>81</v>
      </c>
      <c r="N280" s="48" t="s">
        <v>50</v>
      </c>
      <c r="O280" s="48" t="s">
        <v>57</v>
      </c>
      <c r="P280" s="43"/>
      <c r="Q280" s="43"/>
      <c r="R280" s="43"/>
      <c r="S280" s="43"/>
      <c r="T280" s="43"/>
      <c r="U280" s="43"/>
      <c r="V280" s="43"/>
      <c r="W280" s="43"/>
      <c r="X280" s="43"/>
      <c r="Y280" s="43"/>
      <c r="Z280" s="43"/>
    </row>
    <row r="281" ht="14.25" customHeight="1">
      <c r="A281" s="46">
        <v>20382.0</v>
      </c>
      <c r="B281" s="44">
        <v>45907.0</v>
      </c>
      <c r="C281" s="46" t="s">
        <v>82</v>
      </c>
      <c r="D281" s="46" t="s">
        <v>52</v>
      </c>
      <c r="E281" s="46" t="s">
        <v>47</v>
      </c>
      <c r="F281" s="46" t="s">
        <v>91</v>
      </c>
      <c r="G281" s="46">
        <v>9.0</v>
      </c>
      <c r="H281" s="47">
        <v>514.0</v>
      </c>
      <c r="I281" s="47">
        <v>4626.0</v>
      </c>
      <c r="J281" s="46">
        <v>10.0</v>
      </c>
      <c r="K281" s="47">
        <v>463.0</v>
      </c>
      <c r="L281" s="47">
        <v>4163.0</v>
      </c>
      <c r="M281" s="46" t="s">
        <v>96</v>
      </c>
      <c r="N281" s="46" t="s">
        <v>50</v>
      </c>
      <c r="O281" s="46" t="s">
        <v>69</v>
      </c>
      <c r="P281" s="43"/>
      <c r="Q281" s="43"/>
      <c r="R281" s="43"/>
      <c r="S281" s="43"/>
      <c r="T281" s="43"/>
      <c r="U281" s="43"/>
      <c r="V281" s="43"/>
      <c r="W281" s="43"/>
      <c r="X281" s="43"/>
      <c r="Y281" s="43"/>
      <c r="Z281" s="43"/>
    </row>
    <row r="282" ht="14.25" customHeight="1">
      <c r="A282" s="46">
        <v>20238.0</v>
      </c>
      <c r="B282" s="44">
        <v>45909.0</v>
      </c>
      <c r="C282" s="46" t="s">
        <v>24</v>
      </c>
      <c r="D282" s="46" t="s">
        <v>52</v>
      </c>
      <c r="E282" s="46" t="s">
        <v>59</v>
      </c>
      <c r="F282" s="46" t="s">
        <v>86</v>
      </c>
      <c r="G282" s="46">
        <v>3.0</v>
      </c>
      <c r="H282" s="47">
        <v>449.0</v>
      </c>
      <c r="I282" s="47">
        <v>1347.0</v>
      </c>
      <c r="J282" s="46">
        <v>0.0</v>
      </c>
      <c r="K282" s="47">
        <v>0.0</v>
      </c>
      <c r="L282" s="47">
        <v>1347.0</v>
      </c>
      <c r="M282" s="46" t="s">
        <v>81</v>
      </c>
      <c r="N282" s="46" t="s">
        <v>72</v>
      </c>
      <c r="O282" s="46" t="s">
        <v>69</v>
      </c>
      <c r="P282" s="43"/>
      <c r="Q282" s="43"/>
      <c r="R282" s="43"/>
      <c r="S282" s="43"/>
      <c r="T282" s="43"/>
      <c r="U282" s="43"/>
      <c r="V282" s="43"/>
      <c r="W282" s="43"/>
      <c r="X282" s="43"/>
      <c r="Y282" s="43"/>
      <c r="Z282" s="43"/>
    </row>
    <row r="283" ht="14.25" customHeight="1">
      <c r="A283" s="46">
        <v>20010.0</v>
      </c>
      <c r="B283" s="44">
        <v>45910.0</v>
      </c>
      <c r="C283" s="46" t="s">
        <v>92</v>
      </c>
      <c r="D283" s="46" t="s">
        <v>25</v>
      </c>
      <c r="E283" s="46" t="s">
        <v>26</v>
      </c>
      <c r="F283" s="46" t="s">
        <v>104</v>
      </c>
      <c r="G283" s="46">
        <v>3.0</v>
      </c>
      <c r="H283" s="47">
        <v>283.0</v>
      </c>
      <c r="I283" s="47">
        <v>849.0</v>
      </c>
      <c r="J283" s="46">
        <v>5.0</v>
      </c>
      <c r="K283" s="47">
        <v>42.0</v>
      </c>
      <c r="L283" s="47">
        <v>807.0</v>
      </c>
      <c r="M283" s="46" t="s">
        <v>61</v>
      </c>
      <c r="N283" s="46" t="s">
        <v>56</v>
      </c>
      <c r="O283" s="46" t="s">
        <v>44</v>
      </c>
      <c r="P283" s="43"/>
      <c r="Q283" s="43"/>
      <c r="R283" s="43"/>
      <c r="S283" s="43"/>
      <c r="T283" s="43"/>
      <c r="U283" s="43"/>
      <c r="V283" s="43"/>
      <c r="W283" s="43"/>
      <c r="X283" s="43"/>
      <c r="Y283" s="43"/>
      <c r="Z283" s="43"/>
    </row>
    <row r="284" ht="14.25" customHeight="1">
      <c r="A284" s="48">
        <v>20293.0</v>
      </c>
      <c r="B284" s="44">
        <v>45910.0</v>
      </c>
      <c r="C284" s="48" t="s">
        <v>51</v>
      </c>
      <c r="D284" s="48" t="s">
        <v>52</v>
      </c>
      <c r="E284" s="48" t="s">
        <v>53</v>
      </c>
      <c r="F284" s="48" t="s">
        <v>54</v>
      </c>
      <c r="G284" s="48">
        <v>7.0</v>
      </c>
      <c r="H284" s="49">
        <v>1280.0</v>
      </c>
      <c r="I284" s="49">
        <v>8960.0</v>
      </c>
      <c r="J284" s="48">
        <v>0.0</v>
      </c>
      <c r="K284" s="49">
        <v>0.0</v>
      </c>
      <c r="L284" s="49">
        <v>8960.0</v>
      </c>
      <c r="M284" s="48" t="s">
        <v>42</v>
      </c>
      <c r="N284" s="48" t="s">
        <v>62</v>
      </c>
      <c r="O284" s="48" t="s">
        <v>69</v>
      </c>
      <c r="P284" s="43"/>
      <c r="Q284" s="43"/>
      <c r="R284" s="43"/>
      <c r="S284" s="43"/>
      <c r="T284" s="43"/>
      <c r="U284" s="43"/>
      <c r="V284" s="43"/>
      <c r="W284" s="43"/>
      <c r="X284" s="43"/>
      <c r="Y284" s="43"/>
      <c r="Z284" s="43"/>
    </row>
    <row r="285" ht="14.25" customHeight="1">
      <c r="A285" s="48">
        <v>20343.0</v>
      </c>
      <c r="B285" s="44">
        <v>45913.0</v>
      </c>
      <c r="C285" s="48" t="s">
        <v>73</v>
      </c>
      <c r="D285" s="48" t="s">
        <v>52</v>
      </c>
      <c r="E285" s="48" t="s">
        <v>53</v>
      </c>
      <c r="F285" s="48" t="s">
        <v>102</v>
      </c>
      <c r="G285" s="48">
        <v>8.0</v>
      </c>
      <c r="H285" s="49">
        <v>1125.0</v>
      </c>
      <c r="I285" s="49">
        <v>9000.0</v>
      </c>
      <c r="J285" s="48">
        <v>10.0</v>
      </c>
      <c r="K285" s="49">
        <v>900.0</v>
      </c>
      <c r="L285" s="49">
        <v>8100.0</v>
      </c>
      <c r="M285" s="48" t="s">
        <v>87</v>
      </c>
      <c r="N285" s="48" t="s">
        <v>62</v>
      </c>
      <c r="O285" s="48" t="s">
        <v>69</v>
      </c>
      <c r="P285" s="43"/>
      <c r="Q285" s="43"/>
      <c r="R285" s="43"/>
      <c r="S285" s="43"/>
      <c r="T285" s="43"/>
      <c r="U285" s="43"/>
      <c r="V285" s="43"/>
      <c r="W285" s="43"/>
      <c r="X285" s="43"/>
      <c r="Y285" s="43"/>
      <c r="Z285" s="43"/>
    </row>
    <row r="286" ht="14.25" customHeight="1">
      <c r="A286" s="48">
        <v>20167.0</v>
      </c>
      <c r="B286" s="44">
        <v>45914.0</v>
      </c>
      <c r="C286" s="48" t="s">
        <v>93</v>
      </c>
      <c r="D286" s="48" t="s">
        <v>25</v>
      </c>
      <c r="E286" s="48" t="s">
        <v>26</v>
      </c>
      <c r="F286" s="48" t="s">
        <v>104</v>
      </c>
      <c r="G286" s="48">
        <v>3.0</v>
      </c>
      <c r="H286" s="49">
        <v>461.0</v>
      </c>
      <c r="I286" s="49">
        <v>1383.0</v>
      </c>
      <c r="J286" s="48">
        <v>0.0</v>
      </c>
      <c r="K286" s="49">
        <v>0.0</v>
      </c>
      <c r="L286" s="49">
        <v>1383.0</v>
      </c>
      <c r="M286" s="48" t="s">
        <v>49</v>
      </c>
      <c r="N286" s="48" t="s">
        <v>56</v>
      </c>
      <c r="O286" s="48" t="s">
        <v>69</v>
      </c>
      <c r="P286" s="43"/>
      <c r="Q286" s="43"/>
      <c r="R286" s="43"/>
      <c r="S286" s="43"/>
      <c r="T286" s="43"/>
      <c r="U286" s="43"/>
      <c r="V286" s="43"/>
      <c r="W286" s="43"/>
      <c r="X286" s="43"/>
      <c r="Y286" s="43"/>
      <c r="Z286" s="43"/>
    </row>
    <row r="287" ht="14.25" customHeight="1">
      <c r="A287" s="46">
        <v>20206.0</v>
      </c>
      <c r="B287" s="44">
        <v>45916.0</v>
      </c>
      <c r="C287" s="46" t="s">
        <v>73</v>
      </c>
      <c r="D287" s="46" t="s">
        <v>52</v>
      </c>
      <c r="E287" s="46" t="s">
        <v>53</v>
      </c>
      <c r="F287" s="46" t="s">
        <v>102</v>
      </c>
      <c r="G287" s="46">
        <v>10.0</v>
      </c>
      <c r="H287" s="47">
        <v>1298.0</v>
      </c>
      <c r="I287" s="47">
        <v>12980.0</v>
      </c>
      <c r="J287" s="46">
        <v>10.0</v>
      </c>
      <c r="K287" s="47">
        <v>1298.0</v>
      </c>
      <c r="L287" s="47">
        <v>11682.0</v>
      </c>
      <c r="M287" s="46" t="s">
        <v>87</v>
      </c>
      <c r="N287" s="46" t="s">
        <v>43</v>
      </c>
      <c r="O287" s="46" t="s">
        <v>69</v>
      </c>
      <c r="P287" s="43"/>
      <c r="Q287" s="43"/>
      <c r="R287" s="43"/>
      <c r="S287" s="43"/>
      <c r="T287" s="43"/>
      <c r="U287" s="43"/>
      <c r="V287" s="43"/>
      <c r="W287" s="43"/>
      <c r="X287" s="43"/>
      <c r="Y287" s="43"/>
      <c r="Z287" s="43"/>
    </row>
    <row r="288" ht="14.25" customHeight="1">
      <c r="A288" s="46">
        <v>20134.0</v>
      </c>
      <c r="B288" s="44">
        <v>45920.0</v>
      </c>
      <c r="C288" s="46" t="s">
        <v>76</v>
      </c>
      <c r="D288" s="46" t="s">
        <v>64</v>
      </c>
      <c r="E288" s="46" t="s">
        <v>59</v>
      </c>
      <c r="F288" s="46" t="s">
        <v>79</v>
      </c>
      <c r="G288" s="46">
        <v>15.0</v>
      </c>
      <c r="H288" s="47">
        <v>238.0</v>
      </c>
      <c r="I288" s="47">
        <v>3570.0</v>
      </c>
      <c r="J288" s="46">
        <v>5.0</v>
      </c>
      <c r="K288" s="47">
        <v>178.0</v>
      </c>
      <c r="L288" s="47">
        <v>3392.0</v>
      </c>
      <c r="M288" s="46" t="s">
        <v>81</v>
      </c>
      <c r="N288" s="46" t="s">
        <v>43</v>
      </c>
      <c r="O288" s="46" t="s">
        <v>57</v>
      </c>
      <c r="P288" s="43"/>
      <c r="Q288" s="43"/>
      <c r="R288" s="43"/>
      <c r="S288" s="43"/>
      <c r="T288" s="43"/>
      <c r="U288" s="43"/>
      <c r="V288" s="43"/>
      <c r="W288" s="43"/>
      <c r="X288" s="43"/>
      <c r="Y288" s="43"/>
      <c r="Z288" s="43"/>
    </row>
    <row r="289" ht="14.25" customHeight="1">
      <c r="A289" s="46">
        <v>20182.0</v>
      </c>
      <c r="B289" s="44">
        <v>45921.0</v>
      </c>
      <c r="C289" s="46" t="s">
        <v>84</v>
      </c>
      <c r="D289" s="46" t="s">
        <v>46</v>
      </c>
      <c r="E289" s="46" t="s">
        <v>26</v>
      </c>
      <c r="F289" s="46" t="s">
        <v>111</v>
      </c>
      <c r="G289" s="46">
        <v>11.0</v>
      </c>
      <c r="H289" s="47">
        <v>217.0</v>
      </c>
      <c r="I289" s="47">
        <v>2387.0</v>
      </c>
      <c r="J289" s="46">
        <v>0.0</v>
      </c>
      <c r="K289" s="47">
        <v>0.0</v>
      </c>
      <c r="L289" s="47">
        <v>2387.0</v>
      </c>
      <c r="M289" s="46" t="s">
        <v>81</v>
      </c>
      <c r="N289" s="46" t="s">
        <v>72</v>
      </c>
      <c r="O289" s="46" t="s">
        <v>44</v>
      </c>
      <c r="P289" s="43"/>
      <c r="Q289" s="43"/>
      <c r="R289" s="43"/>
      <c r="S289" s="43"/>
      <c r="T289" s="43"/>
      <c r="U289" s="43"/>
      <c r="V289" s="43"/>
      <c r="W289" s="43"/>
      <c r="X289" s="43"/>
      <c r="Y289" s="43"/>
      <c r="Z289" s="43"/>
    </row>
    <row r="290" ht="14.25" customHeight="1">
      <c r="A290" s="48">
        <v>20363.0</v>
      </c>
      <c r="B290" s="44">
        <v>45921.0</v>
      </c>
      <c r="C290" s="48" t="s">
        <v>92</v>
      </c>
      <c r="D290" s="48" t="s">
        <v>25</v>
      </c>
      <c r="E290" s="48" t="s">
        <v>26</v>
      </c>
      <c r="F290" s="48" t="s">
        <v>100</v>
      </c>
      <c r="G290" s="48">
        <v>13.0</v>
      </c>
      <c r="H290" s="49">
        <v>127.0</v>
      </c>
      <c r="I290" s="49">
        <v>1651.0</v>
      </c>
      <c r="J290" s="48">
        <v>20.0</v>
      </c>
      <c r="K290" s="49">
        <v>330.0</v>
      </c>
      <c r="L290" s="49">
        <v>1321.0</v>
      </c>
      <c r="M290" s="48" t="s">
        <v>61</v>
      </c>
      <c r="N290" s="48" t="s">
        <v>62</v>
      </c>
      <c r="O290" s="48" t="s">
        <v>69</v>
      </c>
      <c r="P290" s="43"/>
      <c r="Q290" s="43"/>
      <c r="R290" s="43"/>
      <c r="S290" s="43"/>
      <c r="T290" s="43"/>
      <c r="U290" s="43"/>
      <c r="V290" s="43"/>
      <c r="W290" s="43"/>
      <c r="X290" s="43"/>
      <c r="Y290" s="43"/>
      <c r="Z290" s="43"/>
    </row>
    <row r="291" ht="14.25" customHeight="1">
      <c r="A291" s="46">
        <v>20404.0</v>
      </c>
      <c r="B291" s="44">
        <v>45922.0</v>
      </c>
      <c r="C291" s="46" t="s">
        <v>97</v>
      </c>
      <c r="D291" s="46" t="s">
        <v>25</v>
      </c>
      <c r="E291" s="46" t="s">
        <v>53</v>
      </c>
      <c r="F291" s="46" t="s">
        <v>75</v>
      </c>
      <c r="G291" s="46">
        <v>5.0</v>
      </c>
      <c r="H291" s="47">
        <v>1678.0</v>
      </c>
      <c r="I291" s="47">
        <v>8390.0</v>
      </c>
      <c r="J291" s="46">
        <v>0.0</v>
      </c>
      <c r="K291" s="47">
        <v>0.0</v>
      </c>
      <c r="L291" s="47">
        <v>8390.0</v>
      </c>
      <c r="M291" s="46" t="s">
        <v>87</v>
      </c>
      <c r="N291" s="46" t="s">
        <v>50</v>
      </c>
      <c r="O291" s="46" t="s">
        <v>44</v>
      </c>
      <c r="P291" s="43"/>
      <c r="Q291" s="43"/>
      <c r="R291" s="43"/>
      <c r="S291" s="43"/>
      <c r="T291" s="43"/>
      <c r="U291" s="43"/>
      <c r="V291" s="43"/>
      <c r="W291" s="43"/>
      <c r="X291" s="43"/>
      <c r="Y291" s="43"/>
      <c r="Z291" s="43"/>
    </row>
    <row r="292" ht="14.25" customHeight="1">
      <c r="A292" s="46">
        <v>20076.0</v>
      </c>
      <c r="B292" s="44">
        <v>45923.0</v>
      </c>
      <c r="C292" s="46" t="s">
        <v>45</v>
      </c>
      <c r="D292" s="46" t="s">
        <v>46</v>
      </c>
      <c r="E292" s="46" t="s">
        <v>47</v>
      </c>
      <c r="F292" s="46" t="s">
        <v>27</v>
      </c>
      <c r="G292" s="46">
        <v>11.0</v>
      </c>
      <c r="H292" s="47">
        <v>1292.0</v>
      </c>
      <c r="I292" s="47">
        <v>14212.0</v>
      </c>
      <c r="J292" s="46">
        <v>10.0</v>
      </c>
      <c r="K292" s="47">
        <v>1421.0</v>
      </c>
      <c r="L292" s="47">
        <v>12791.0</v>
      </c>
      <c r="M292" s="46" t="s">
        <v>68</v>
      </c>
      <c r="N292" s="46" t="s">
        <v>72</v>
      </c>
      <c r="O292" s="46" t="s">
        <v>44</v>
      </c>
      <c r="P292" s="43"/>
      <c r="Q292" s="43"/>
      <c r="R292" s="43"/>
      <c r="S292" s="43"/>
      <c r="T292" s="43"/>
      <c r="U292" s="43"/>
      <c r="V292" s="43"/>
      <c r="W292" s="43"/>
      <c r="X292" s="43"/>
      <c r="Y292" s="43"/>
      <c r="Z292" s="43"/>
    </row>
    <row r="293" ht="14.25" customHeight="1">
      <c r="A293" s="46">
        <v>20156.0</v>
      </c>
      <c r="B293" s="44">
        <v>45923.0</v>
      </c>
      <c r="C293" s="46" t="s">
        <v>89</v>
      </c>
      <c r="D293" s="46" t="s">
        <v>46</v>
      </c>
      <c r="E293" s="46" t="s">
        <v>26</v>
      </c>
      <c r="F293" s="46" t="s">
        <v>74</v>
      </c>
      <c r="G293" s="46">
        <v>4.0</v>
      </c>
      <c r="H293" s="47">
        <v>401.0</v>
      </c>
      <c r="I293" s="47">
        <v>1604.0</v>
      </c>
      <c r="J293" s="46">
        <v>0.0</v>
      </c>
      <c r="K293" s="47">
        <v>0.0</v>
      </c>
      <c r="L293" s="47">
        <v>1604.0</v>
      </c>
      <c r="M293" s="46" t="s">
        <v>87</v>
      </c>
      <c r="N293" s="46" t="s">
        <v>50</v>
      </c>
      <c r="O293" s="46" t="s">
        <v>57</v>
      </c>
      <c r="P293" s="43"/>
      <c r="Q293" s="43"/>
      <c r="R293" s="43"/>
      <c r="S293" s="43"/>
      <c r="T293" s="43"/>
      <c r="U293" s="43"/>
      <c r="V293" s="43"/>
      <c r="W293" s="43"/>
      <c r="X293" s="43"/>
      <c r="Y293" s="43"/>
      <c r="Z293" s="43"/>
    </row>
    <row r="294" ht="14.25" customHeight="1">
      <c r="A294" s="46">
        <v>20398.0</v>
      </c>
      <c r="B294" s="44">
        <v>45923.0</v>
      </c>
      <c r="C294" s="46" t="s">
        <v>89</v>
      </c>
      <c r="D294" s="46" t="s">
        <v>46</v>
      </c>
      <c r="E294" s="46" t="s">
        <v>77</v>
      </c>
      <c r="F294" s="46" t="s">
        <v>90</v>
      </c>
      <c r="G294" s="46">
        <v>13.0</v>
      </c>
      <c r="H294" s="47">
        <v>5125.0</v>
      </c>
      <c r="I294" s="47">
        <v>66625.0</v>
      </c>
      <c r="J294" s="46">
        <v>15.0</v>
      </c>
      <c r="K294" s="47">
        <v>9994.0</v>
      </c>
      <c r="L294" s="47">
        <v>56631.0</v>
      </c>
      <c r="M294" s="46" t="s">
        <v>81</v>
      </c>
      <c r="N294" s="46" t="s">
        <v>72</v>
      </c>
      <c r="O294" s="46" t="s">
        <v>69</v>
      </c>
      <c r="P294" s="43"/>
      <c r="Q294" s="43"/>
      <c r="R294" s="43"/>
      <c r="S294" s="43"/>
      <c r="T294" s="43"/>
      <c r="U294" s="43"/>
      <c r="V294" s="43"/>
      <c r="W294" s="43"/>
      <c r="X294" s="43"/>
      <c r="Y294" s="43"/>
      <c r="Z294" s="43"/>
    </row>
    <row r="295" ht="14.25" customHeight="1">
      <c r="A295" s="48">
        <v>20315.0</v>
      </c>
      <c r="B295" s="44">
        <v>45924.0</v>
      </c>
      <c r="C295" s="48" t="s">
        <v>51</v>
      </c>
      <c r="D295" s="48" t="s">
        <v>52</v>
      </c>
      <c r="E295" s="48" t="s">
        <v>47</v>
      </c>
      <c r="F295" s="48" t="s">
        <v>91</v>
      </c>
      <c r="G295" s="48">
        <v>1.0</v>
      </c>
      <c r="H295" s="49">
        <v>1356.0</v>
      </c>
      <c r="I295" s="49">
        <v>1356.0</v>
      </c>
      <c r="J295" s="48">
        <v>0.0</v>
      </c>
      <c r="K295" s="49">
        <v>0.0</v>
      </c>
      <c r="L295" s="49">
        <v>1356.0</v>
      </c>
      <c r="M295" s="48" t="s">
        <v>71</v>
      </c>
      <c r="N295" s="48" t="s">
        <v>43</v>
      </c>
      <c r="O295" s="48" t="s">
        <v>69</v>
      </c>
      <c r="P295" s="43"/>
      <c r="Q295" s="43"/>
      <c r="R295" s="43"/>
      <c r="S295" s="43"/>
      <c r="T295" s="43"/>
      <c r="U295" s="43"/>
      <c r="V295" s="43"/>
      <c r="W295" s="43"/>
      <c r="X295" s="43"/>
      <c r="Y295" s="43"/>
      <c r="Z295" s="43"/>
    </row>
    <row r="296" ht="14.25" customHeight="1">
      <c r="A296" s="46">
        <v>20304.0</v>
      </c>
      <c r="B296" s="44">
        <v>45925.0</v>
      </c>
      <c r="C296" s="46" t="s">
        <v>24</v>
      </c>
      <c r="D296" s="46" t="s">
        <v>52</v>
      </c>
      <c r="E296" s="46" t="s">
        <v>26</v>
      </c>
      <c r="F296" s="46" t="s">
        <v>111</v>
      </c>
      <c r="G296" s="46">
        <v>3.0</v>
      </c>
      <c r="H296" s="47">
        <v>271.0</v>
      </c>
      <c r="I296" s="47">
        <v>813.0</v>
      </c>
      <c r="J296" s="46">
        <v>0.0</v>
      </c>
      <c r="K296" s="47">
        <v>0.0</v>
      </c>
      <c r="L296" s="47">
        <v>813.0</v>
      </c>
      <c r="M296" s="46" t="s">
        <v>49</v>
      </c>
      <c r="N296" s="46" t="s">
        <v>62</v>
      </c>
      <c r="O296" s="46" t="s">
        <v>44</v>
      </c>
      <c r="P296" s="43"/>
      <c r="Q296" s="43"/>
      <c r="R296" s="43"/>
      <c r="S296" s="43"/>
      <c r="T296" s="43"/>
      <c r="U296" s="43"/>
      <c r="V296" s="43"/>
      <c r="W296" s="43"/>
      <c r="X296" s="43"/>
      <c r="Y296" s="43"/>
      <c r="Z296" s="43"/>
    </row>
    <row r="297" ht="14.25" customHeight="1">
      <c r="A297" s="46">
        <v>20208.0</v>
      </c>
      <c r="B297" s="44">
        <v>45926.0</v>
      </c>
      <c r="C297" s="46" t="s">
        <v>76</v>
      </c>
      <c r="D297" s="46" t="s">
        <v>64</v>
      </c>
      <c r="E297" s="46" t="s">
        <v>77</v>
      </c>
      <c r="F297" s="46" t="s">
        <v>78</v>
      </c>
      <c r="G297" s="46">
        <v>10.0</v>
      </c>
      <c r="H297" s="47">
        <v>7578.0</v>
      </c>
      <c r="I297" s="47">
        <v>75780.0</v>
      </c>
      <c r="J297" s="46">
        <v>0.0</v>
      </c>
      <c r="K297" s="47">
        <v>0.0</v>
      </c>
      <c r="L297" s="47">
        <v>75780.0</v>
      </c>
      <c r="M297" s="46" t="s">
        <v>55</v>
      </c>
      <c r="N297" s="46" t="s">
        <v>43</v>
      </c>
      <c r="O297" s="46" t="s">
        <v>44</v>
      </c>
      <c r="P297" s="43"/>
      <c r="Q297" s="43"/>
      <c r="R297" s="43"/>
      <c r="S297" s="43"/>
      <c r="T297" s="43"/>
      <c r="U297" s="43"/>
      <c r="V297" s="43"/>
      <c r="W297" s="43"/>
      <c r="X297" s="43"/>
      <c r="Y297" s="43"/>
      <c r="Z297" s="43"/>
    </row>
    <row r="298" ht="14.25" customHeight="1">
      <c r="A298" s="46">
        <v>20186.0</v>
      </c>
      <c r="B298" s="44">
        <v>45927.0</v>
      </c>
      <c r="C298" s="46" t="s">
        <v>73</v>
      </c>
      <c r="D298" s="46" t="s">
        <v>52</v>
      </c>
      <c r="E298" s="46" t="s">
        <v>47</v>
      </c>
      <c r="F298" s="46" t="s">
        <v>67</v>
      </c>
      <c r="G298" s="46">
        <v>2.0</v>
      </c>
      <c r="H298" s="47">
        <v>1027.0</v>
      </c>
      <c r="I298" s="47">
        <v>2054.0</v>
      </c>
      <c r="J298" s="46">
        <v>10.0</v>
      </c>
      <c r="K298" s="47">
        <v>205.0</v>
      </c>
      <c r="L298" s="47">
        <v>1849.0</v>
      </c>
      <c r="M298" s="46" t="s">
        <v>87</v>
      </c>
      <c r="N298" s="46" t="s">
        <v>50</v>
      </c>
      <c r="O298" s="46" t="s">
        <v>69</v>
      </c>
      <c r="P298" s="43"/>
      <c r="Q298" s="43"/>
      <c r="R298" s="43"/>
      <c r="S298" s="43"/>
      <c r="T298" s="43"/>
      <c r="U298" s="43"/>
      <c r="V298" s="43"/>
      <c r="W298" s="43"/>
      <c r="X298" s="43"/>
      <c r="Y298" s="43"/>
      <c r="Z298" s="43"/>
    </row>
    <row r="299" ht="14.25" customHeight="1">
      <c r="A299" s="48">
        <v>20281.0</v>
      </c>
      <c r="B299" s="44">
        <v>45927.0</v>
      </c>
      <c r="C299" s="48" t="s">
        <v>63</v>
      </c>
      <c r="D299" s="48" t="s">
        <v>64</v>
      </c>
      <c r="E299" s="48" t="s">
        <v>47</v>
      </c>
      <c r="F299" s="48" t="s">
        <v>91</v>
      </c>
      <c r="G299" s="48">
        <v>7.0</v>
      </c>
      <c r="H299" s="49">
        <v>1608.0</v>
      </c>
      <c r="I299" s="49">
        <v>11256.0</v>
      </c>
      <c r="J299" s="48">
        <v>10.0</v>
      </c>
      <c r="K299" s="49">
        <v>1126.0</v>
      </c>
      <c r="L299" s="49">
        <v>10130.0</v>
      </c>
      <c r="M299" s="48" t="s">
        <v>87</v>
      </c>
      <c r="N299" s="48" t="s">
        <v>72</v>
      </c>
      <c r="O299" s="48" t="s">
        <v>44</v>
      </c>
      <c r="P299" s="43"/>
      <c r="Q299" s="43"/>
      <c r="R299" s="43"/>
      <c r="S299" s="43"/>
      <c r="T299" s="43"/>
      <c r="U299" s="43"/>
      <c r="V299" s="43"/>
      <c r="W299" s="43"/>
      <c r="X299" s="43"/>
      <c r="Y299" s="43"/>
      <c r="Z299" s="43"/>
    </row>
    <row r="300" ht="14.25" customHeight="1">
      <c r="A300" s="48">
        <v>20011.0</v>
      </c>
      <c r="B300" s="44">
        <v>45928.0</v>
      </c>
      <c r="C300" s="48" t="s">
        <v>66</v>
      </c>
      <c r="D300" s="48" t="s">
        <v>46</v>
      </c>
      <c r="E300" s="48" t="s">
        <v>47</v>
      </c>
      <c r="F300" s="48" t="s">
        <v>91</v>
      </c>
      <c r="G300" s="48">
        <v>11.0</v>
      </c>
      <c r="H300" s="49">
        <v>1291.0</v>
      </c>
      <c r="I300" s="49">
        <v>14201.0</v>
      </c>
      <c r="J300" s="48">
        <v>20.0</v>
      </c>
      <c r="K300" s="49">
        <v>2840.0</v>
      </c>
      <c r="L300" s="49">
        <v>11361.0</v>
      </c>
      <c r="M300" s="48" t="s">
        <v>55</v>
      </c>
      <c r="N300" s="48" t="s">
        <v>62</v>
      </c>
      <c r="O300" s="48" t="s">
        <v>44</v>
      </c>
      <c r="P300" s="43"/>
      <c r="Q300" s="43"/>
      <c r="R300" s="43"/>
      <c r="S300" s="43"/>
      <c r="T300" s="43"/>
      <c r="U300" s="43"/>
      <c r="V300" s="43"/>
      <c r="W300" s="43"/>
      <c r="X300" s="43"/>
      <c r="Y300" s="43"/>
      <c r="Z300" s="43"/>
    </row>
    <row r="301" ht="14.25" customHeight="1">
      <c r="A301" s="46">
        <v>20112.0</v>
      </c>
      <c r="B301" s="44">
        <v>45929.0</v>
      </c>
      <c r="C301" s="46" t="s">
        <v>99</v>
      </c>
      <c r="D301" s="46" t="s">
        <v>64</v>
      </c>
      <c r="E301" s="46" t="s">
        <v>59</v>
      </c>
      <c r="F301" s="46" t="s">
        <v>86</v>
      </c>
      <c r="G301" s="46">
        <v>8.0</v>
      </c>
      <c r="H301" s="47">
        <v>219.0</v>
      </c>
      <c r="I301" s="47">
        <v>1752.0</v>
      </c>
      <c r="J301" s="46">
        <v>20.0</v>
      </c>
      <c r="K301" s="47">
        <v>350.0</v>
      </c>
      <c r="L301" s="47">
        <v>1402.0</v>
      </c>
      <c r="M301" s="46" t="s">
        <v>49</v>
      </c>
      <c r="N301" s="46" t="s">
        <v>56</v>
      </c>
      <c r="O301" s="46" t="s">
        <v>69</v>
      </c>
      <c r="P301" s="43"/>
      <c r="Q301" s="43"/>
      <c r="R301" s="43"/>
      <c r="S301" s="43"/>
      <c r="T301" s="43"/>
      <c r="U301" s="43"/>
      <c r="V301" s="43"/>
      <c r="W301" s="43"/>
      <c r="X301" s="43"/>
      <c r="Y301" s="43"/>
      <c r="Z301" s="43"/>
    </row>
    <row r="302" ht="14.25" customHeight="1">
      <c r="A302" s="46">
        <v>20270.0</v>
      </c>
      <c r="B302" s="44">
        <v>45929.0</v>
      </c>
      <c r="C302" s="46" t="s">
        <v>63</v>
      </c>
      <c r="D302" s="46" t="s">
        <v>64</v>
      </c>
      <c r="E302" s="46" t="s">
        <v>59</v>
      </c>
      <c r="F302" s="46" t="s">
        <v>86</v>
      </c>
      <c r="G302" s="46">
        <v>1.0</v>
      </c>
      <c r="H302" s="47">
        <v>107.0</v>
      </c>
      <c r="I302" s="47">
        <v>107.0</v>
      </c>
      <c r="J302" s="46">
        <v>0.0</v>
      </c>
      <c r="K302" s="47">
        <v>0.0</v>
      </c>
      <c r="L302" s="47">
        <v>107.0</v>
      </c>
      <c r="M302" s="46" t="s">
        <v>87</v>
      </c>
      <c r="N302" s="46" t="s">
        <v>43</v>
      </c>
      <c r="O302" s="46" t="s">
        <v>57</v>
      </c>
      <c r="P302" s="43"/>
      <c r="Q302" s="43"/>
      <c r="R302" s="43"/>
      <c r="S302" s="43"/>
      <c r="T302" s="43"/>
      <c r="U302" s="43"/>
      <c r="V302" s="43"/>
      <c r="W302" s="43"/>
      <c r="X302" s="43"/>
      <c r="Y302" s="43"/>
      <c r="Z302" s="43"/>
    </row>
    <row r="303" ht="14.25" customHeight="1">
      <c r="A303" s="48">
        <v>20325.0</v>
      </c>
      <c r="B303" s="44">
        <v>45929.0</v>
      </c>
      <c r="C303" s="48" t="s">
        <v>99</v>
      </c>
      <c r="D303" s="48" t="s">
        <v>64</v>
      </c>
      <c r="E303" s="48" t="s">
        <v>26</v>
      </c>
      <c r="F303" s="48" t="s">
        <v>94</v>
      </c>
      <c r="G303" s="48">
        <v>1.0</v>
      </c>
      <c r="H303" s="49">
        <v>374.0</v>
      </c>
      <c r="I303" s="49">
        <v>374.0</v>
      </c>
      <c r="J303" s="48">
        <v>0.0</v>
      </c>
      <c r="K303" s="49">
        <v>0.0</v>
      </c>
      <c r="L303" s="49">
        <v>374.0</v>
      </c>
      <c r="M303" s="48" t="s">
        <v>71</v>
      </c>
      <c r="N303" s="48" t="s">
        <v>43</v>
      </c>
      <c r="O303" s="48" t="s">
        <v>57</v>
      </c>
      <c r="P303" s="43"/>
      <c r="Q303" s="43"/>
      <c r="R303" s="43"/>
      <c r="S303" s="43"/>
      <c r="T303" s="43"/>
      <c r="U303" s="43"/>
      <c r="V303" s="43"/>
      <c r="W303" s="43"/>
      <c r="X303" s="43"/>
      <c r="Y303" s="43"/>
      <c r="Z303" s="43"/>
    </row>
    <row r="304" ht="14.25" customHeight="1">
      <c r="A304" s="46">
        <v>20056.0</v>
      </c>
      <c r="B304" s="44">
        <v>45930.0</v>
      </c>
      <c r="C304" s="46" t="s">
        <v>24</v>
      </c>
      <c r="D304" s="46" t="s">
        <v>52</v>
      </c>
      <c r="E304" s="46" t="s">
        <v>53</v>
      </c>
      <c r="F304" s="46" t="s">
        <v>102</v>
      </c>
      <c r="G304" s="46">
        <v>9.0</v>
      </c>
      <c r="H304" s="47">
        <v>1159.0</v>
      </c>
      <c r="I304" s="47">
        <v>10431.0</v>
      </c>
      <c r="J304" s="46">
        <v>5.0</v>
      </c>
      <c r="K304" s="47">
        <v>522.0</v>
      </c>
      <c r="L304" s="47">
        <v>9909.0</v>
      </c>
      <c r="M304" s="46" t="s">
        <v>55</v>
      </c>
      <c r="N304" s="46" t="s">
        <v>43</v>
      </c>
      <c r="O304" s="46" t="s">
        <v>57</v>
      </c>
      <c r="P304" s="43"/>
      <c r="Q304" s="43"/>
      <c r="R304" s="43"/>
      <c r="S304" s="43"/>
      <c r="T304" s="43"/>
      <c r="U304" s="43"/>
      <c r="V304" s="43"/>
      <c r="W304" s="43"/>
      <c r="X304" s="43"/>
      <c r="Y304" s="43"/>
      <c r="Z304" s="43"/>
    </row>
    <row r="305" ht="14.25" customHeight="1">
      <c r="A305" s="46">
        <v>20192.0</v>
      </c>
      <c r="B305" s="44">
        <v>45930.0</v>
      </c>
      <c r="C305" s="46" t="s">
        <v>51</v>
      </c>
      <c r="D305" s="46" t="s">
        <v>52</v>
      </c>
      <c r="E305" s="46" t="s">
        <v>77</v>
      </c>
      <c r="F305" s="46" t="s">
        <v>78</v>
      </c>
      <c r="G305" s="46">
        <v>8.0</v>
      </c>
      <c r="H305" s="47">
        <v>2170.0</v>
      </c>
      <c r="I305" s="47">
        <v>17360.0</v>
      </c>
      <c r="J305" s="46">
        <v>0.0</v>
      </c>
      <c r="K305" s="47">
        <v>0.0</v>
      </c>
      <c r="L305" s="47">
        <v>17360.0</v>
      </c>
      <c r="M305" s="46" t="s">
        <v>61</v>
      </c>
      <c r="N305" s="46" t="s">
        <v>56</v>
      </c>
      <c r="O305" s="46" t="s">
        <v>69</v>
      </c>
      <c r="P305" s="43"/>
      <c r="Q305" s="43"/>
      <c r="R305" s="43"/>
      <c r="S305" s="43"/>
      <c r="T305" s="43"/>
      <c r="U305" s="43"/>
      <c r="V305" s="43"/>
      <c r="W305" s="43"/>
      <c r="X305" s="43"/>
      <c r="Y305" s="43"/>
      <c r="Z305" s="43"/>
    </row>
    <row r="306" ht="14.25" customHeight="1">
      <c r="A306" s="48">
        <v>20179.0</v>
      </c>
      <c r="B306" s="44">
        <v>45931.0</v>
      </c>
      <c r="C306" s="48" t="s">
        <v>93</v>
      </c>
      <c r="D306" s="48" t="s">
        <v>25</v>
      </c>
      <c r="E306" s="48" t="s">
        <v>77</v>
      </c>
      <c r="F306" s="48" t="s">
        <v>110</v>
      </c>
      <c r="G306" s="48">
        <v>15.0</v>
      </c>
      <c r="H306" s="49">
        <v>8433.0</v>
      </c>
      <c r="I306" s="49">
        <v>126495.0</v>
      </c>
      <c r="J306" s="48">
        <v>0.0</v>
      </c>
      <c r="K306" s="49">
        <v>0.0</v>
      </c>
      <c r="L306" s="49">
        <v>126495.0</v>
      </c>
      <c r="M306" s="48" t="s">
        <v>96</v>
      </c>
      <c r="N306" s="48" t="s">
        <v>62</v>
      </c>
      <c r="O306" s="48" t="s">
        <v>69</v>
      </c>
      <c r="P306" s="43"/>
      <c r="Q306" s="43"/>
      <c r="R306" s="43"/>
      <c r="S306" s="43"/>
      <c r="T306" s="43"/>
      <c r="U306" s="43"/>
      <c r="V306" s="43"/>
      <c r="W306" s="43"/>
      <c r="X306" s="43"/>
      <c r="Y306" s="43"/>
      <c r="Z306" s="43"/>
    </row>
    <row r="307" ht="14.25" customHeight="1">
      <c r="A307" s="48">
        <v>20201.0</v>
      </c>
      <c r="B307" s="44">
        <v>45931.0</v>
      </c>
      <c r="C307" s="48" t="s">
        <v>45</v>
      </c>
      <c r="D307" s="48" t="s">
        <v>46</v>
      </c>
      <c r="E307" s="48" t="s">
        <v>53</v>
      </c>
      <c r="F307" s="48" t="s">
        <v>95</v>
      </c>
      <c r="G307" s="48">
        <v>6.0</v>
      </c>
      <c r="H307" s="49">
        <v>1317.0</v>
      </c>
      <c r="I307" s="49">
        <v>7902.0</v>
      </c>
      <c r="J307" s="48">
        <v>20.0</v>
      </c>
      <c r="K307" s="49">
        <v>1580.0</v>
      </c>
      <c r="L307" s="49">
        <v>6322.0</v>
      </c>
      <c r="M307" s="48" t="s">
        <v>42</v>
      </c>
      <c r="N307" s="48" t="s">
        <v>72</v>
      </c>
      <c r="O307" s="48" t="s">
        <v>69</v>
      </c>
      <c r="P307" s="43"/>
      <c r="Q307" s="43"/>
      <c r="R307" s="43"/>
      <c r="S307" s="43"/>
      <c r="T307" s="43"/>
      <c r="U307" s="43"/>
      <c r="V307" s="43"/>
      <c r="W307" s="43"/>
      <c r="X307" s="43"/>
      <c r="Y307" s="43"/>
      <c r="Z307" s="43"/>
    </row>
    <row r="308" ht="14.25" customHeight="1">
      <c r="A308" s="46">
        <v>20368.0</v>
      </c>
      <c r="B308" s="44">
        <v>45931.0</v>
      </c>
      <c r="C308" s="46" t="s">
        <v>63</v>
      </c>
      <c r="D308" s="46" t="s">
        <v>64</v>
      </c>
      <c r="E308" s="46" t="s">
        <v>77</v>
      </c>
      <c r="F308" s="46" t="s">
        <v>105</v>
      </c>
      <c r="G308" s="46">
        <v>7.0</v>
      </c>
      <c r="H308" s="47">
        <v>6094.0</v>
      </c>
      <c r="I308" s="47">
        <v>42658.0</v>
      </c>
      <c r="J308" s="46">
        <v>0.0</v>
      </c>
      <c r="K308" s="47">
        <v>0.0</v>
      </c>
      <c r="L308" s="47">
        <v>42658.0</v>
      </c>
      <c r="M308" s="46" t="s">
        <v>87</v>
      </c>
      <c r="N308" s="46" t="s">
        <v>56</v>
      </c>
      <c r="O308" s="46" t="s">
        <v>69</v>
      </c>
      <c r="P308" s="43"/>
      <c r="Q308" s="43"/>
      <c r="R308" s="43"/>
      <c r="S308" s="43"/>
      <c r="T308" s="43"/>
      <c r="U308" s="43"/>
      <c r="V308" s="43"/>
      <c r="W308" s="43"/>
      <c r="X308" s="43"/>
      <c r="Y308" s="43"/>
      <c r="Z308" s="43"/>
    </row>
    <row r="309" ht="14.25" customHeight="1">
      <c r="A309" s="48">
        <v>20259.0</v>
      </c>
      <c r="B309" s="44">
        <v>45932.0</v>
      </c>
      <c r="C309" s="48" t="s">
        <v>76</v>
      </c>
      <c r="D309" s="48" t="s">
        <v>64</v>
      </c>
      <c r="E309" s="48" t="s">
        <v>53</v>
      </c>
      <c r="F309" s="48" t="s">
        <v>102</v>
      </c>
      <c r="G309" s="48">
        <v>5.0</v>
      </c>
      <c r="H309" s="49">
        <v>715.0</v>
      </c>
      <c r="I309" s="49">
        <v>3575.0</v>
      </c>
      <c r="J309" s="48">
        <v>0.0</v>
      </c>
      <c r="K309" s="49">
        <v>0.0</v>
      </c>
      <c r="L309" s="49">
        <v>3575.0</v>
      </c>
      <c r="M309" s="48" t="s">
        <v>61</v>
      </c>
      <c r="N309" s="48" t="s">
        <v>56</v>
      </c>
      <c r="O309" s="48" t="s">
        <v>57</v>
      </c>
      <c r="P309" s="43"/>
      <c r="Q309" s="43"/>
      <c r="R309" s="43"/>
      <c r="S309" s="43"/>
      <c r="T309" s="43"/>
      <c r="U309" s="43"/>
      <c r="V309" s="43"/>
      <c r="W309" s="43"/>
      <c r="X309" s="43"/>
      <c r="Y309" s="43"/>
      <c r="Z309" s="43"/>
    </row>
    <row r="310" ht="14.25" customHeight="1">
      <c r="A310" s="48">
        <v>20305.0</v>
      </c>
      <c r="B310" s="44">
        <v>45932.0</v>
      </c>
      <c r="C310" s="48" t="s">
        <v>45</v>
      </c>
      <c r="D310" s="48" t="s">
        <v>46</v>
      </c>
      <c r="E310" s="48" t="s">
        <v>59</v>
      </c>
      <c r="F310" s="48" t="s">
        <v>85</v>
      </c>
      <c r="G310" s="48">
        <v>7.0</v>
      </c>
      <c r="H310" s="49">
        <v>302.0</v>
      </c>
      <c r="I310" s="49">
        <v>2114.0</v>
      </c>
      <c r="J310" s="48">
        <v>0.0</v>
      </c>
      <c r="K310" s="49">
        <v>0.0</v>
      </c>
      <c r="L310" s="49">
        <v>2114.0</v>
      </c>
      <c r="M310" s="48" t="s">
        <v>96</v>
      </c>
      <c r="N310" s="48" t="s">
        <v>43</v>
      </c>
      <c r="O310" s="48" t="s">
        <v>69</v>
      </c>
      <c r="P310" s="43"/>
      <c r="Q310" s="43"/>
      <c r="R310" s="43"/>
      <c r="S310" s="43"/>
      <c r="T310" s="43"/>
      <c r="U310" s="43"/>
      <c r="V310" s="43"/>
      <c r="W310" s="43"/>
      <c r="X310" s="43"/>
      <c r="Y310" s="43"/>
      <c r="Z310" s="43"/>
    </row>
    <row r="311" ht="14.25" customHeight="1">
      <c r="A311" s="46">
        <v>20176.0</v>
      </c>
      <c r="B311" s="44">
        <v>45933.0</v>
      </c>
      <c r="C311" s="46" t="s">
        <v>66</v>
      </c>
      <c r="D311" s="46" t="s">
        <v>46</v>
      </c>
      <c r="E311" s="46" t="s">
        <v>47</v>
      </c>
      <c r="F311" s="46" t="s">
        <v>67</v>
      </c>
      <c r="G311" s="46">
        <v>3.0</v>
      </c>
      <c r="H311" s="47">
        <v>1179.0</v>
      </c>
      <c r="I311" s="47">
        <v>3537.0</v>
      </c>
      <c r="J311" s="46">
        <v>0.0</v>
      </c>
      <c r="K311" s="47">
        <v>0.0</v>
      </c>
      <c r="L311" s="47">
        <v>3537.0</v>
      </c>
      <c r="M311" s="46" t="s">
        <v>81</v>
      </c>
      <c r="N311" s="46" t="s">
        <v>56</v>
      </c>
      <c r="O311" s="46" t="s">
        <v>69</v>
      </c>
      <c r="P311" s="43"/>
      <c r="Q311" s="43"/>
      <c r="R311" s="43"/>
      <c r="S311" s="43"/>
      <c r="T311" s="43"/>
      <c r="U311" s="43"/>
      <c r="V311" s="43"/>
      <c r="W311" s="43"/>
      <c r="X311" s="43"/>
      <c r="Y311" s="43"/>
      <c r="Z311" s="43"/>
    </row>
    <row r="312" ht="14.25" customHeight="1">
      <c r="A312" s="48">
        <v>20191.0</v>
      </c>
      <c r="B312" s="44">
        <v>45933.0</v>
      </c>
      <c r="C312" s="48" t="s">
        <v>51</v>
      </c>
      <c r="D312" s="48" t="s">
        <v>52</v>
      </c>
      <c r="E312" s="48" t="s">
        <v>47</v>
      </c>
      <c r="F312" s="48" t="s">
        <v>65</v>
      </c>
      <c r="G312" s="48">
        <v>12.0</v>
      </c>
      <c r="H312" s="49">
        <v>292.0</v>
      </c>
      <c r="I312" s="49">
        <v>3504.0</v>
      </c>
      <c r="J312" s="48">
        <v>0.0</v>
      </c>
      <c r="K312" s="49">
        <v>0.0</v>
      </c>
      <c r="L312" s="49">
        <v>3504.0</v>
      </c>
      <c r="M312" s="48" t="s">
        <v>42</v>
      </c>
      <c r="N312" s="48" t="s">
        <v>56</v>
      </c>
      <c r="O312" s="48" t="s">
        <v>44</v>
      </c>
      <c r="P312" s="43"/>
      <c r="Q312" s="43"/>
      <c r="R312" s="43"/>
      <c r="S312" s="43"/>
      <c r="T312" s="43"/>
      <c r="U312" s="43"/>
      <c r="V312" s="43"/>
      <c r="W312" s="43"/>
      <c r="X312" s="43"/>
      <c r="Y312" s="43"/>
      <c r="Z312" s="43"/>
    </row>
    <row r="313" ht="14.25" customHeight="1">
      <c r="A313" s="48">
        <v>20239.0</v>
      </c>
      <c r="B313" s="44">
        <v>45933.0</v>
      </c>
      <c r="C313" s="48" t="s">
        <v>89</v>
      </c>
      <c r="D313" s="48" t="s">
        <v>46</v>
      </c>
      <c r="E313" s="48" t="s">
        <v>77</v>
      </c>
      <c r="F313" s="48" t="s">
        <v>110</v>
      </c>
      <c r="G313" s="48">
        <v>10.0</v>
      </c>
      <c r="H313" s="49">
        <v>5403.0</v>
      </c>
      <c r="I313" s="49">
        <v>54030.0</v>
      </c>
      <c r="J313" s="48">
        <v>0.0</v>
      </c>
      <c r="K313" s="49">
        <v>0.0</v>
      </c>
      <c r="L313" s="49">
        <v>54030.0</v>
      </c>
      <c r="M313" s="48" t="s">
        <v>87</v>
      </c>
      <c r="N313" s="48" t="s">
        <v>72</v>
      </c>
      <c r="O313" s="48" t="s">
        <v>57</v>
      </c>
      <c r="P313" s="43"/>
      <c r="Q313" s="43"/>
      <c r="R313" s="43"/>
      <c r="S313" s="43"/>
      <c r="T313" s="43"/>
      <c r="U313" s="43"/>
      <c r="V313" s="43"/>
      <c r="W313" s="43"/>
      <c r="X313" s="43"/>
      <c r="Y313" s="43"/>
      <c r="Z313" s="43"/>
    </row>
    <row r="314" ht="14.25" customHeight="1">
      <c r="A314" s="46">
        <v>20364.0</v>
      </c>
      <c r="B314" s="44">
        <v>45933.0</v>
      </c>
      <c r="C314" s="46" t="s">
        <v>24</v>
      </c>
      <c r="D314" s="46" t="s">
        <v>52</v>
      </c>
      <c r="E314" s="46" t="s">
        <v>26</v>
      </c>
      <c r="F314" s="46" t="s">
        <v>94</v>
      </c>
      <c r="G314" s="46">
        <v>11.0</v>
      </c>
      <c r="H314" s="47">
        <v>277.0</v>
      </c>
      <c r="I314" s="47">
        <v>3047.0</v>
      </c>
      <c r="J314" s="46">
        <v>0.0</v>
      </c>
      <c r="K314" s="47">
        <v>0.0</v>
      </c>
      <c r="L314" s="47">
        <v>3047.0</v>
      </c>
      <c r="M314" s="46" t="s">
        <v>71</v>
      </c>
      <c r="N314" s="46" t="s">
        <v>62</v>
      </c>
      <c r="O314" s="46" t="s">
        <v>69</v>
      </c>
      <c r="P314" s="43"/>
      <c r="Q314" s="43"/>
      <c r="R314" s="43"/>
      <c r="S314" s="43"/>
      <c r="T314" s="43"/>
      <c r="U314" s="43"/>
      <c r="V314" s="43"/>
      <c r="W314" s="43"/>
      <c r="X314" s="43"/>
      <c r="Y314" s="43"/>
      <c r="Z314" s="43"/>
    </row>
    <row r="315" ht="14.25" customHeight="1">
      <c r="A315" s="46">
        <v>20046.0</v>
      </c>
      <c r="B315" s="44">
        <v>45934.0</v>
      </c>
      <c r="C315" s="46" t="s">
        <v>92</v>
      </c>
      <c r="D315" s="46" t="s">
        <v>25</v>
      </c>
      <c r="E315" s="46" t="s">
        <v>77</v>
      </c>
      <c r="F315" s="46" t="s">
        <v>78</v>
      </c>
      <c r="G315" s="46">
        <v>4.0</v>
      </c>
      <c r="H315" s="47">
        <v>6584.0</v>
      </c>
      <c r="I315" s="47">
        <v>26336.0</v>
      </c>
      <c r="J315" s="46">
        <v>0.0</v>
      </c>
      <c r="K315" s="47">
        <v>0.0</v>
      </c>
      <c r="L315" s="47">
        <v>26336.0</v>
      </c>
      <c r="M315" s="46" t="s">
        <v>61</v>
      </c>
      <c r="N315" s="46" t="s">
        <v>43</v>
      </c>
      <c r="O315" s="46" t="s">
        <v>44</v>
      </c>
      <c r="P315" s="43"/>
      <c r="Q315" s="43"/>
      <c r="R315" s="43"/>
      <c r="S315" s="43"/>
      <c r="T315" s="43"/>
      <c r="U315" s="43"/>
      <c r="V315" s="43"/>
      <c r="W315" s="43"/>
      <c r="X315" s="43"/>
      <c r="Y315" s="43"/>
      <c r="Z315" s="43"/>
    </row>
    <row r="316" ht="14.25" customHeight="1">
      <c r="A316" s="46">
        <v>20362.0</v>
      </c>
      <c r="B316" s="44">
        <v>45934.0</v>
      </c>
      <c r="C316" s="46" t="s">
        <v>89</v>
      </c>
      <c r="D316" s="46" t="s">
        <v>46</v>
      </c>
      <c r="E316" s="46" t="s">
        <v>26</v>
      </c>
      <c r="F316" s="46" t="s">
        <v>70</v>
      </c>
      <c r="G316" s="46">
        <v>14.0</v>
      </c>
      <c r="H316" s="47">
        <v>503.0</v>
      </c>
      <c r="I316" s="47">
        <v>7042.0</v>
      </c>
      <c r="J316" s="46">
        <v>0.0</v>
      </c>
      <c r="K316" s="47">
        <v>0.0</v>
      </c>
      <c r="L316" s="47">
        <v>7042.0</v>
      </c>
      <c r="M316" s="46" t="s">
        <v>96</v>
      </c>
      <c r="N316" s="46" t="s">
        <v>50</v>
      </c>
      <c r="O316" s="46" t="s">
        <v>44</v>
      </c>
      <c r="P316" s="43"/>
      <c r="Q316" s="43"/>
      <c r="R316" s="43"/>
      <c r="S316" s="43"/>
      <c r="T316" s="43"/>
      <c r="U316" s="43"/>
      <c r="V316" s="43"/>
      <c r="W316" s="43"/>
      <c r="X316" s="43"/>
      <c r="Y316" s="43"/>
      <c r="Z316" s="43"/>
    </row>
    <row r="317" ht="14.25" customHeight="1">
      <c r="A317" s="48">
        <v>20047.0</v>
      </c>
      <c r="B317" s="44">
        <v>45935.0</v>
      </c>
      <c r="C317" s="48" t="s">
        <v>73</v>
      </c>
      <c r="D317" s="48" t="s">
        <v>52</v>
      </c>
      <c r="E317" s="48" t="s">
        <v>59</v>
      </c>
      <c r="F317" s="48" t="s">
        <v>79</v>
      </c>
      <c r="G317" s="48">
        <v>4.0</v>
      </c>
      <c r="H317" s="49">
        <v>359.0</v>
      </c>
      <c r="I317" s="49">
        <v>1436.0</v>
      </c>
      <c r="J317" s="48">
        <v>20.0</v>
      </c>
      <c r="K317" s="49">
        <v>287.0</v>
      </c>
      <c r="L317" s="49">
        <v>1149.0</v>
      </c>
      <c r="M317" s="48" t="s">
        <v>49</v>
      </c>
      <c r="N317" s="48" t="s">
        <v>43</v>
      </c>
      <c r="O317" s="48" t="s">
        <v>44</v>
      </c>
      <c r="P317" s="43"/>
      <c r="Q317" s="43"/>
      <c r="R317" s="43"/>
      <c r="S317" s="43"/>
      <c r="T317" s="43"/>
      <c r="U317" s="43"/>
      <c r="V317" s="43"/>
      <c r="W317" s="43"/>
      <c r="X317" s="43"/>
      <c r="Y317" s="43"/>
      <c r="Z317" s="43"/>
    </row>
    <row r="318" ht="14.25" customHeight="1">
      <c r="A318" s="46">
        <v>20354.0</v>
      </c>
      <c r="B318" s="44">
        <v>45935.0</v>
      </c>
      <c r="C318" s="46" t="s">
        <v>93</v>
      </c>
      <c r="D318" s="46" t="s">
        <v>25</v>
      </c>
      <c r="E318" s="46" t="s">
        <v>53</v>
      </c>
      <c r="F318" s="46" t="s">
        <v>48</v>
      </c>
      <c r="G318" s="46">
        <v>2.0</v>
      </c>
      <c r="H318" s="47">
        <v>1624.0</v>
      </c>
      <c r="I318" s="47">
        <v>3248.0</v>
      </c>
      <c r="J318" s="46">
        <v>0.0</v>
      </c>
      <c r="K318" s="47">
        <v>0.0</v>
      </c>
      <c r="L318" s="47">
        <v>3248.0</v>
      </c>
      <c r="M318" s="46" t="s">
        <v>87</v>
      </c>
      <c r="N318" s="46" t="s">
        <v>72</v>
      </c>
      <c r="O318" s="46" t="s">
        <v>57</v>
      </c>
      <c r="P318" s="43"/>
      <c r="Q318" s="43"/>
      <c r="R318" s="43"/>
      <c r="S318" s="43"/>
      <c r="T318" s="43"/>
      <c r="U318" s="43"/>
      <c r="V318" s="43"/>
      <c r="W318" s="43"/>
      <c r="X318" s="43"/>
      <c r="Y318" s="43"/>
      <c r="Z318" s="43"/>
    </row>
    <row r="319" ht="14.25" customHeight="1">
      <c r="A319" s="48">
        <v>20371.0</v>
      </c>
      <c r="B319" s="44">
        <v>45939.0</v>
      </c>
      <c r="C319" s="48" t="s">
        <v>92</v>
      </c>
      <c r="D319" s="48" t="s">
        <v>25</v>
      </c>
      <c r="E319" s="48" t="s">
        <v>53</v>
      </c>
      <c r="F319" s="48" t="s">
        <v>98</v>
      </c>
      <c r="G319" s="48">
        <v>2.0</v>
      </c>
      <c r="H319" s="49">
        <v>703.0</v>
      </c>
      <c r="I319" s="49">
        <v>1406.0</v>
      </c>
      <c r="J319" s="48">
        <v>0.0</v>
      </c>
      <c r="K319" s="49">
        <v>0.0</v>
      </c>
      <c r="L319" s="49">
        <v>1406.0</v>
      </c>
      <c r="M319" s="48" t="s">
        <v>55</v>
      </c>
      <c r="N319" s="48" t="s">
        <v>50</v>
      </c>
      <c r="O319" s="48" t="s">
        <v>57</v>
      </c>
      <c r="P319" s="43"/>
      <c r="Q319" s="43"/>
      <c r="R319" s="43"/>
      <c r="S319" s="43"/>
      <c r="T319" s="43"/>
      <c r="U319" s="43"/>
      <c r="V319" s="43"/>
      <c r="W319" s="43"/>
      <c r="X319" s="43"/>
      <c r="Y319" s="43"/>
      <c r="Z319" s="43"/>
    </row>
    <row r="320" ht="14.25" customHeight="1">
      <c r="A320" s="48">
        <v>20005.0</v>
      </c>
      <c r="B320" s="44">
        <v>45940.0</v>
      </c>
      <c r="C320" s="48" t="s">
        <v>89</v>
      </c>
      <c r="D320" s="48" t="s">
        <v>46</v>
      </c>
      <c r="E320" s="48" t="s">
        <v>47</v>
      </c>
      <c r="F320" s="48" t="s">
        <v>67</v>
      </c>
      <c r="G320" s="48">
        <v>10.0</v>
      </c>
      <c r="H320" s="49">
        <v>1132.0</v>
      </c>
      <c r="I320" s="49">
        <v>11320.0</v>
      </c>
      <c r="J320" s="48">
        <v>20.0</v>
      </c>
      <c r="K320" s="49">
        <v>2264.0</v>
      </c>
      <c r="L320" s="49">
        <v>9056.0</v>
      </c>
      <c r="M320" s="48" t="s">
        <v>96</v>
      </c>
      <c r="N320" s="48" t="s">
        <v>62</v>
      </c>
      <c r="O320" s="48" t="s">
        <v>69</v>
      </c>
      <c r="P320" s="43"/>
      <c r="Q320" s="43"/>
      <c r="R320" s="43"/>
      <c r="S320" s="43"/>
      <c r="T320" s="43"/>
      <c r="U320" s="43"/>
      <c r="V320" s="43"/>
      <c r="W320" s="43"/>
      <c r="X320" s="43"/>
      <c r="Y320" s="43"/>
      <c r="Z320" s="43"/>
    </row>
    <row r="321" ht="14.25" customHeight="1">
      <c r="A321" s="46">
        <v>20210.0</v>
      </c>
      <c r="B321" s="44">
        <v>45940.0</v>
      </c>
      <c r="C321" s="46" t="s">
        <v>82</v>
      </c>
      <c r="D321" s="46" t="s">
        <v>52</v>
      </c>
      <c r="E321" s="46" t="s">
        <v>26</v>
      </c>
      <c r="F321" s="46" t="s">
        <v>94</v>
      </c>
      <c r="G321" s="46">
        <v>1.0</v>
      </c>
      <c r="H321" s="47">
        <v>295.0</v>
      </c>
      <c r="I321" s="47">
        <v>295.0</v>
      </c>
      <c r="J321" s="46">
        <v>10.0</v>
      </c>
      <c r="K321" s="47">
        <v>30.0</v>
      </c>
      <c r="L321" s="47">
        <v>265.0</v>
      </c>
      <c r="M321" s="46" t="s">
        <v>71</v>
      </c>
      <c r="N321" s="46" t="s">
        <v>56</v>
      </c>
      <c r="O321" s="46" t="s">
        <v>69</v>
      </c>
      <c r="P321" s="43"/>
      <c r="Q321" s="43"/>
      <c r="R321" s="43"/>
      <c r="S321" s="43"/>
      <c r="T321" s="43"/>
      <c r="U321" s="43"/>
      <c r="V321" s="43"/>
      <c r="W321" s="43"/>
      <c r="X321" s="43"/>
      <c r="Y321" s="43"/>
      <c r="Z321" s="43"/>
    </row>
    <row r="322" ht="14.25" customHeight="1">
      <c r="A322" s="46">
        <v>20100.0</v>
      </c>
      <c r="B322" s="44">
        <v>45941.0</v>
      </c>
      <c r="C322" s="46" t="s">
        <v>99</v>
      </c>
      <c r="D322" s="46" t="s">
        <v>64</v>
      </c>
      <c r="E322" s="46" t="s">
        <v>47</v>
      </c>
      <c r="F322" s="46" t="s">
        <v>65</v>
      </c>
      <c r="G322" s="46">
        <v>14.0</v>
      </c>
      <c r="H322" s="47">
        <v>210.0</v>
      </c>
      <c r="I322" s="47">
        <v>2940.0</v>
      </c>
      <c r="J322" s="46">
        <v>0.0</v>
      </c>
      <c r="K322" s="47">
        <v>0.0</v>
      </c>
      <c r="L322" s="47">
        <v>2940.0</v>
      </c>
      <c r="M322" s="46" t="s">
        <v>68</v>
      </c>
      <c r="N322" s="46" t="s">
        <v>50</v>
      </c>
      <c r="O322" s="46" t="s">
        <v>57</v>
      </c>
      <c r="P322" s="43"/>
      <c r="Q322" s="43"/>
      <c r="R322" s="43"/>
      <c r="S322" s="43"/>
      <c r="T322" s="43"/>
      <c r="U322" s="43"/>
      <c r="V322" s="43"/>
      <c r="W322" s="43"/>
      <c r="X322" s="43"/>
      <c r="Y322" s="43"/>
      <c r="Z322" s="43"/>
    </row>
    <row r="323" ht="14.25" customHeight="1">
      <c r="A323" s="48">
        <v>20255.0</v>
      </c>
      <c r="B323" s="44">
        <v>45941.0</v>
      </c>
      <c r="C323" s="48" t="s">
        <v>89</v>
      </c>
      <c r="D323" s="48" t="s">
        <v>46</v>
      </c>
      <c r="E323" s="48" t="s">
        <v>26</v>
      </c>
      <c r="F323" s="48" t="s">
        <v>94</v>
      </c>
      <c r="G323" s="48">
        <v>15.0</v>
      </c>
      <c r="H323" s="49">
        <v>428.0</v>
      </c>
      <c r="I323" s="49">
        <v>6420.0</v>
      </c>
      <c r="J323" s="48">
        <v>0.0</v>
      </c>
      <c r="K323" s="49">
        <v>0.0</v>
      </c>
      <c r="L323" s="49">
        <v>6420.0</v>
      </c>
      <c r="M323" s="48" t="s">
        <v>61</v>
      </c>
      <c r="N323" s="48" t="s">
        <v>72</v>
      </c>
      <c r="O323" s="48" t="s">
        <v>57</v>
      </c>
      <c r="P323" s="43"/>
      <c r="Q323" s="43"/>
      <c r="R323" s="43"/>
      <c r="S323" s="43"/>
      <c r="T323" s="43"/>
      <c r="U323" s="43"/>
      <c r="V323" s="43"/>
      <c r="W323" s="43"/>
      <c r="X323" s="43"/>
      <c r="Y323" s="43"/>
      <c r="Z323" s="43"/>
    </row>
    <row r="324" ht="14.25" customHeight="1">
      <c r="A324" s="46">
        <v>20108.0</v>
      </c>
      <c r="B324" s="44">
        <v>45942.0</v>
      </c>
      <c r="C324" s="46" t="s">
        <v>93</v>
      </c>
      <c r="D324" s="46" t="s">
        <v>25</v>
      </c>
      <c r="E324" s="46" t="s">
        <v>47</v>
      </c>
      <c r="F324" s="46" t="s">
        <v>103</v>
      </c>
      <c r="G324" s="46">
        <v>9.0</v>
      </c>
      <c r="H324" s="47">
        <v>1647.0</v>
      </c>
      <c r="I324" s="47">
        <v>14823.0</v>
      </c>
      <c r="J324" s="46">
        <v>20.0</v>
      </c>
      <c r="K324" s="47">
        <v>2965.0</v>
      </c>
      <c r="L324" s="47">
        <v>11858.0</v>
      </c>
      <c r="M324" s="46" t="s">
        <v>61</v>
      </c>
      <c r="N324" s="46" t="s">
        <v>62</v>
      </c>
      <c r="O324" s="46" t="s">
        <v>44</v>
      </c>
      <c r="P324" s="43"/>
      <c r="Q324" s="43"/>
      <c r="R324" s="43"/>
      <c r="S324" s="43"/>
      <c r="T324" s="43"/>
      <c r="U324" s="43"/>
      <c r="V324" s="43"/>
      <c r="W324" s="43"/>
      <c r="X324" s="43"/>
      <c r="Y324" s="43"/>
      <c r="Z324" s="43"/>
    </row>
    <row r="325" ht="14.25" customHeight="1">
      <c r="A325" s="48">
        <v>20341.0</v>
      </c>
      <c r="B325" s="44">
        <v>45943.0</v>
      </c>
      <c r="C325" s="48" t="s">
        <v>93</v>
      </c>
      <c r="D325" s="48" t="s">
        <v>25</v>
      </c>
      <c r="E325" s="48" t="s">
        <v>26</v>
      </c>
      <c r="F325" s="48" t="s">
        <v>94</v>
      </c>
      <c r="G325" s="48">
        <v>15.0</v>
      </c>
      <c r="H325" s="49">
        <v>280.0</v>
      </c>
      <c r="I325" s="49">
        <v>4200.0</v>
      </c>
      <c r="J325" s="48">
        <v>0.0</v>
      </c>
      <c r="K325" s="49">
        <v>0.0</v>
      </c>
      <c r="L325" s="49">
        <v>4200.0</v>
      </c>
      <c r="M325" s="48" t="s">
        <v>42</v>
      </c>
      <c r="N325" s="48" t="s">
        <v>72</v>
      </c>
      <c r="O325" s="48" t="s">
        <v>69</v>
      </c>
      <c r="P325" s="43"/>
      <c r="Q325" s="43"/>
      <c r="R325" s="43"/>
      <c r="S325" s="43"/>
      <c r="T325" s="43"/>
      <c r="U325" s="43"/>
      <c r="V325" s="43"/>
      <c r="W325" s="43"/>
      <c r="X325" s="43"/>
      <c r="Y325" s="43"/>
      <c r="Z325" s="43"/>
    </row>
    <row r="326" ht="14.25" customHeight="1">
      <c r="A326" s="48">
        <v>20165.0</v>
      </c>
      <c r="B326" s="44">
        <v>45945.0</v>
      </c>
      <c r="C326" s="48" t="s">
        <v>99</v>
      </c>
      <c r="D326" s="48" t="s">
        <v>64</v>
      </c>
      <c r="E326" s="48" t="s">
        <v>53</v>
      </c>
      <c r="F326" s="48" t="s">
        <v>54</v>
      </c>
      <c r="G326" s="48">
        <v>5.0</v>
      </c>
      <c r="H326" s="49">
        <v>1331.0</v>
      </c>
      <c r="I326" s="49">
        <v>6655.0</v>
      </c>
      <c r="J326" s="48">
        <v>0.0</v>
      </c>
      <c r="K326" s="49">
        <v>0.0</v>
      </c>
      <c r="L326" s="49">
        <v>6655.0</v>
      </c>
      <c r="M326" s="48" t="s">
        <v>49</v>
      </c>
      <c r="N326" s="48" t="s">
        <v>56</v>
      </c>
      <c r="O326" s="48" t="s">
        <v>69</v>
      </c>
      <c r="P326" s="43"/>
      <c r="Q326" s="43"/>
      <c r="R326" s="43"/>
      <c r="S326" s="43"/>
      <c r="T326" s="43"/>
      <c r="U326" s="43"/>
      <c r="V326" s="43"/>
      <c r="W326" s="43"/>
      <c r="X326" s="43"/>
      <c r="Y326" s="43"/>
      <c r="Z326" s="43"/>
    </row>
    <row r="327" ht="14.25" customHeight="1">
      <c r="A327" s="48">
        <v>20285.0</v>
      </c>
      <c r="B327" s="44">
        <v>45946.0</v>
      </c>
      <c r="C327" s="48" t="s">
        <v>76</v>
      </c>
      <c r="D327" s="48" t="s">
        <v>64</v>
      </c>
      <c r="E327" s="48" t="s">
        <v>47</v>
      </c>
      <c r="F327" s="48" t="s">
        <v>65</v>
      </c>
      <c r="G327" s="48">
        <v>14.0</v>
      </c>
      <c r="H327" s="49">
        <v>2207.0</v>
      </c>
      <c r="I327" s="49">
        <v>30898.0</v>
      </c>
      <c r="J327" s="48">
        <v>0.0</v>
      </c>
      <c r="K327" s="49">
        <v>0.0</v>
      </c>
      <c r="L327" s="49">
        <v>30898.0</v>
      </c>
      <c r="M327" s="48" t="s">
        <v>71</v>
      </c>
      <c r="N327" s="48" t="s">
        <v>62</v>
      </c>
      <c r="O327" s="48" t="s">
        <v>69</v>
      </c>
      <c r="P327" s="43"/>
      <c r="Q327" s="43"/>
      <c r="R327" s="43"/>
      <c r="S327" s="43"/>
      <c r="T327" s="43"/>
      <c r="U327" s="43"/>
      <c r="V327" s="43"/>
      <c r="W327" s="43"/>
      <c r="X327" s="43"/>
      <c r="Y327" s="43"/>
      <c r="Z327" s="43"/>
    </row>
    <row r="328" ht="14.25" customHeight="1">
      <c r="A328" s="48">
        <v>20209.0</v>
      </c>
      <c r="B328" s="44">
        <v>45947.0</v>
      </c>
      <c r="C328" s="48" t="s">
        <v>63</v>
      </c>
      <c r="D328" s="48" t="s">
        <v>64</v>
      </c>
      <c r="E328" s="48" t="s">
        <v>77</v>
      </c>
      <c r="F328" s="48" t="s">
        <v>101</v>
      </c>
      <c r="G328" s="48">
        <v>11.0</v>
      </c>
      <c r="H328" s="49">
        <v>6255.0</v>
      </c>
      <c r="I328" s="49">
        <v>68805.0</v>
      </c>
      <c r="J328" s="48">
        <v>0.0</v>
      </c>
      <c r="K328" s="49">
        <v>0.0</v>
      </c>
      <c r="L328" s="49">
        <v>68805.0</v>
      </c>
      <c r="M328" s="48" t="s">
        <v>61</v>
      </c>
      <c r="N328" s="48" t="s">
        <v>43</v>
      </c>
      <c r="O328" s="48" t="s">
        <v>44</v>
      </c>
      <c r="P328" s="43"/>
      <c r="Q328" s="43"/>
      <c r="R328" s="43"/>
      <c r="S328" s="43"/>
      <c r="T328" s="43"/>
      <c r="U328" s="43"/>
      <c r="V328" s="43"/>
      <c r="W328" s="43"/>
      <c r="X328" s="43"/>
      <c r="Y328" s="43"/>
      <c r="Z328" s="43"/>
    </row>
    <row r="329" ht="14.25" customHeight="1">
      <c r="A329" s="48">
        <v>20039.0</v>
      </c>
      <c r="B329" s="44">
        <v>45949.0</v>
      </c>
      <c r="C329" s="48" t="s">
        <v>89</v>
      </c>
      <c r="D329" s="48" t="s">
        <v>46</v>
      </c>
      <c r="E329" s="48" t="s">
        <v>59</v>
      </c>
      <c r="F329" s="48" t="s">
        <v>83</v>
      </c>
      <c r="G329" s="48">
        <v>14.0</v>
      </c>
      <c r="H329" s="49">
        <v>167.0</v>
      </c>
      <c r="I329" s="49">
        <v>2338.0</v>
      </c>
      <c r="J329" s="48">
        <v>20.0</v>
      </c>
      <c r="K329" s="49">
        <v>468.0</v>
      </c>
      <c r="L329" s="49">
        <v>1870.0</v>
      </c>
      <c r="M329" s="48" t="s">
        <v>49</v>
      </c>
      <c r="N329" s="48" t="s">
        <v>56</v>
      </c>
      <c r="O329" s="48" t="s">
        <v>57</v>
      </c>
      <c r="P329" s="43"/>
      <c r="Q329" s="43"/>
      <c r="R329" s="43"/>
      <c r="S329" s="43"/>
      <c r="T329" s="43"/>
      <c r="U329" s="43"/>
      <c r="V329" s="43"/>
      <c r="W329" s="43"/>
      <c r="X329" s="43"/>
      <c r="Y329" s="43"/>
      <c r="Z329" s="43"/>
    </row>
    <row r="330" ht="14.25" customHeight="1">
      <c r="A330" s="46">
        <v>20318.0</v>
      </c>
      <c r="B330" s="44">
        <v>45950.0</v>
      </c>
      <c r="C330" s="46" t="s">
        <v>99</v>
      </c>
      <c r="D330" s="46" t="s">
        <v>64</v>
      </c>
      <c r="E330" s="46" t="s">
        <v>53</v>
      </c>
      <c r="F330" s="46" t="s">
        <v>98</v>
      </c>
      <c r="G330" s="46">
        <v>12.0</v>
      </c>
      <c r="H330" s="47">
        <v>1393.0</v>
      </c>
      <c r="I330" s="47">
        <v>16716.0</v>
      </c>
      <c r="J330" s="46">
        <v>15.0</v>
      </c>
      <c r="K330" s="47">
        <v>2507.0</v>
      </c>
      <c r="L330" s="47">
        <v>14209.0</v>
      </c>
      <c r="M330" s="46" t="s">
        <v>55</v>
      </c>
      <c r="N330" s="46" t="s">
        <v>56</v>
      </c>
      <c r="O330" s="46" t="s">
        <v>44</v>
      </c>
      <c r="P330" s="43"/>
      <c r="Q330" s="43"/>
      <c r="R330" s="43"/>
      <c r="S330" s="43"/>
      <c r="T330" s="43"/>
      <c r="U330" s="43"/>
      <c r="V330" s="43"/>
      <c r="W330" s="43"/>
      <c r="X330" s="43"/>
      <c r="Y330" s="43"/>
      <c r="Z330" s="43"/>
    </row>
    <row r="331" ht="14.25" customHeight="1">
      <c r="A331" s="48">
        <v>20149.0</v>
      </c>
      <c r="B331" s="44">
        <v>45951.0</v>
      </c>
      <c r="C331" s="48" t="s">
        <v>76</v>
      </c>
      <c r="D331" s="48" t="s">
        <v>64</v>
      </c>
      <c r="E331" s="48" t="s">
        <v>47</v>
      </c>
      <c r="F331" s="48" t="s">
        <v>67</v>
      </c>
      <c r="G331" s="48">
        <v>7.0</v>
      </c>
      <c r="H331" s="49">
        <v>663.0</v>
      </c>
      <c r="I331" s="49">
        <v>4641.0</v>
      </c>
      <c r="J331" s="48">
        <v>0.0</v>
      </c>
      <c r="K331" s="49">
        <v>0.0</v>
      </c>
      <c r="L331" s="49">
        <v>4641.0</v>
      </c>
      <c r="M331" s="48" t="s">
        <v>68</v>
      </c>
      <c r="N331" s="48" t="s">
        <v>43</v>
      </c>
      <c r="O331" s="48" t="s">
        <v>57</v>
      </c>
      <c r="P331" s="43"/>
      <c r="Q331" s="43"/>
      <c r="R331" s="43"/>
      <c r="S331" s="43"/>
      <c r="T331" s="43"/>
      <c r="U331" s="43"/>
      <c r="V331" s="43"/>
      <c r="W331" s="43"/>
      <c r="X331" s="43"/>
      <c r="Y331" s="43"/>
      <c r="Z331" s="43"/>
    </row>
    <row r="332" ht="14.25" customHeight="1">
      <c r="A332" s="46">
        <v>20402.0</v>
      </c>
      <c r="B332" s="44">
        <v>45952.0</v>
      </c>
      <c r="C332" s="46" t="s">
        <v>66</v>
      </c>
      <c r="D332" s="46" t="s">
        <v>46</v>
      </c>
      <c r="E332" s="46" t="s">
        <v>59</v>
      </c>
      <c r="F332" s="46" t="s">
        <v>86</v>
      </c>
      <c r="G332" s="46">
        <v>10.0</v>
      </c>
      <c r="H332" s="47">
        <v>447.0</v>
      </c>
      <c r="I332" s="47">
        <v>4470.0</v>
      </c>
      <c r="J332" s="46">
        <v>20.0</v>
      </c>
      <c r="K332" s="47">
        <v>894.0</v>
      </c>
      <c r="L332" s="47">
        <v>3576.0</v>
      </c>
      <c r="M332" s="46" t="s">
        <v>42</v>
      </c>
      <c r="N332" s="46" t="s">
        <v>43</v>
      </c>
      <c r="O332" s="46" t="s">
        <v>57</v>
      </c>
      <c r="P332" s="43"/>
      <c r="Q332" s="43"/>
      <c r="R332" s="43"/>
      <c r="S332" s="43"/>
      <c r="T332" s="43"/>
      <c r="U332" s="43"/>
      <c r="V332" s="43"/>
      <c r="W332" s="43"/>
      <c r="X332" s="43"/>
      <c r="Y332" s="43"/>
      <c r="Z332" s="43"/>
    </row>
    <row r="333" ht="14.25" customHeight="1">
      <c r="A333" s="46">
        <v>20416.0</v>
      </c>
      <c r="B333" s="44">
        <v>45952.0</v>
      </c>
      <c r="C333" s="46" t="s">
        <v>80</v>
      </c>
      <c r="D333" s="46" t="s">
        <v>64</v>
      </c>
      <c r="E333" s="46" t="s">
        <v>53</v>
      </c>
      <c r="F333" s="46" t="s">
        <v>95</v>
      </c>
      <c r="G333" s="46">
        <v>6.0</v>
      </c>
      <c r="H333" s="47">
        <v>1885.0</v>
      </c>
      <c r="I333" s="47">
        <v>11310.0</v>
      </c>
      <c r="J333" s="46">
        <v>0.0</v>
      </c>
      <c r="K333" s="47">
        <v>0.0</v>
      </c>
      <c r="L333" s="47">
        <v>11310.0</v>
      </c>
      <c r="M333" s="46" t="s">
        <v>61</v>
      </c>
      <c r="N333" s="46" t="s">
        <v>56</v>
      </c>
      <c r="O333" s="46" t="s">
        <v>44</v>
      </c>
      <c r="P333" s="43"/>
      <c r="Q333" s="43"/>
      <c r="R333" s="43"/>
      <c r="S333" s="43"/>
      <c r="T333" s="43"/>
      <c r="U333" s="43"/>
      <c r="V333" s="43"/>
      <c r="W333" s="43"/>
      <c r="X333" s="43"/>
      <c r="Y333" s="43"/>
      <c r="Z333" s="43"/>
    </row>
    <row r="334" ht="14.25" customHeight="1">
      <c r="A334" s="46">
        <v>20170.0</v>
      </c>
      <c r="B334" s="44">
        <v>45954.0</v>
      </c>
      <c r="C334" s="46" t="s">
        <v>63</v>
      </c>
      <c r="D334" s="46" t="s">
        <v>64</v>
      </c>
      <c r="E334" s="46" t="s">
        <v>26</v>
      </c>
      <c r="F334" s="46" t="s">
        <v>70</v>
      </c>
      <c r="G334" s="46">
        <v>8.0</v>
      </c>
      <c r="H334" s="47">
        <v>294.0</v>
      </c>
      <c r="I334" s="47">
        <v>2352.0</v>
      </c>
      <c r="J334" s="46">
        <v>0.0</v>
      </c>
      <c r="K334" s="47">
        <v>0.0</v>
      </c>
      <c r="L334" s="47">
        <v>2352.0</v>
      </c>
      <c r="M334" s="46" t="s">
        <v>106</v>
      </c>
      <c r="N334" s="46" t="s">
        <v>62</v>
      </c>
      <c r="O334" s="46" t="s">
        <v>57</v>
      </c>
      <c r="P334" s="43"/>
      <c r="Q334" s="43"/>
      <c r="R334" s="43"/>
      <c r="S334" s="43"/>
      <c r="T334" s="43"/>
      <c r="U334" s="43"/>
      <c r="V334" s="43"/>
      <c r="W334" s="43"/>
      <c r="X334" s="43"/>
      <c r="Y334" s="43"/>
      <c r="Z334" s="43"/>
    </row>
    <row r="335" ht="14.25" customHeight="1">
      <c r="A335" s="48">
        <v>20157.0</v>
      </c>
      <c r="B335" s="44">
        <v>45955.0</v>
      </c>
      <c r="C335" s="48" t="s">
        <v>76</v>
      </c>
      <c r="D335" s="48" t="s">
        <v>64</v>
      </c>
      <c r="E335" s="48" t="s">
        <v>77</v>
      </c>
      <c r="F335" s="48" t="s">
        <v>105</v>
      </c>
      <c r="G335" s="48">
        <v>10.0</v>
      </c>
      <c r="H335" s="49">
        <v>7802.0</v>
      </c>
      <c r="I335" s="49">
        <v>78020.0</v>
      </c>
      <c r="J335" s="48">
        <v>0.0</v>
      </c>
      <c r="K335" s="49">
        <v>0.0</v>
      </c>
      <c r="L335" s="49">
        <v>78020.0</v>
      </c>
      <c r="M335" s="48" t="s">
        <v>81</v>
      </c>
      <c r="N335" s="48" t="s">
        <v>56</v>
      </c>
      <c r="O335" s="48" t="s">
        <v>44</v>
      </c>
      <c r="P335" s="43"/>
      <c r="Q335" s="43"/>
      <c r="R335" s="43"/>
      <c r="S335" s="43"/>
      <c r="T335" s="43"/>
      <c r="U335" s="43"/>
      <c r="V335" s="43"/>
      <c r="W335" s="43"/>
      <c r="X335" s="43"/>
      <c r="Y335" s="43"/>
      <c r="Z335" s="43"/>
    </row>
    <row r="336" ht="14.25" customHeight="1">
      <c r="A336" s="48">
        <v>20387.0</v>
      </c>
      <c r="B336" s="44">
        <v>45956.0</v>
      </c>
      <c r="C336" s="48" t="s">
        <v>80</v>
      </c>
      <c r="D336" s="48" t="s">
        <v>64</v>
      </c>
      <c r="E336" s="48" t="s">
        <v>47</v>
      </c>
      <c r="F336" s="48" t="s">
        <v>103</v>
      </c>
      <c r="G336" s="48">
        <v>5.0</v>
      </c>
      <c r="H336" s="49">
        <v>2056.0</v>
      </c>
      <c r="I336" s="49">
        <v>10280.0</v>
      </c>
      <c r="J336" s="48">
        <v>10.0</v>
      </c>
      <c r="K336" s="49">
        <v>1028.0</v>
      </c>
      <c r="L336" s="49">
        <v>9252.0</v>
      </c>
      <c r="M336" s="48" t="s">
        <v>49</v>
      </c>
      <c r="N336" s="48" t="s">
        <v>62</v>
      </c>
      <c r="O336" s="48" t="s">
        <v>69</v>
      </c>
      <c r="P336" s="43"/>
      <c r="Q336" s="43"/>
      <c r="R336" s="43"/>
      <c r="S336" s="43"/>
      <c r="T336" s="43"/>
      <c r="U336" s="43"/>
      <c r="V336" s="43"/>
      <c r="W336" s="43"/>
      <c r="X336" s="43"/>
      <c r="Y336" s="43"/>
      <c r="Z336" s="43"/>
    </row>
    <row r="337" ht="14.25" customHeight="1">
      <c r="A337" s="48">
        <v>20283.0</v>
      </c>
      <c r="B337" s="44">
        <v>45957.0</v>
      </c>
      <c r="C337" s="48" t="s">
        <v>63</v>
      </c>
      <c r="D337" s="48" t="s">
        <v>64</v>
      </c>
      <c r="E337" s="48" t="s">
        <v>77</v>
      </c>
      <c r="F337" s="48" t="s">
        <v>90</v>
      </c>
      <c r="G337" s="48">
        <v>4.0</v>
      </c>
      <c r="H337" s="49">
        <v>3083.0</v>
      </c>
      <c r="I337" s="49">
        <v>12332.0</v>
      </c>
      <c r="J337" s="48">
        <v>20.0</v>
      </c>
      <c r="K337" s="49">
        <v>2466.0</v>
      </c>
      <c r="L337" s="49">
        <v>9866.0</v>
      </c>
      <c r="M337" s="48" t="s">
        <v>106</v>
      </c>
      <c r="N337" s="48" t="s">
        <v>56</v>
      </c>
      <c r="O337" s="48" t="s">
        <v>44</v>
      </c>
      <c r="P337" s="43"/>
      <c r="Q337" s="43"/>
      <c r="R337" s="43"/>
      <c r="S337" s="43"/>
      <c r="T337" s="43"/>
      <c r="U337" s="43"/>
      <c r="V337" s="43"/>
      <c r="W337" s="43"/>
      <c r="X337" s="43"/>
      <c r="Y337" s="43"/>
      <c r="Z337" s="43"/>
    </row>
    <row r="338" ht="14.25" customHeight="1">
      <c r="A338" s="46">
        <v>20234.0</v>
      </c>
      <c r="B338" s="44">
        <v>45958.0</v>
      </c>
      <c r="C338" s="46" t="s">
        <v>58</v>
      </c>
      <c r="D338" s="46" t="s">
        <v>25</v>
      </c>
      <c r="E338" s="46" t="s">
        <v>53</v>
      </c>
      <c r="F338" s="46" t="s">
        <v>95</v>
      </c>
      <c r="G338" s="46">
        <v>14.0</v>
      </c>
      <c r="H338" s="47">
        <v>652.0</v>
      </c>
      <c r="I338" s="47">
        <v>9128.0</v>
      </c>
      <c r="J338" s="46">
        <v>10.0</v>
      </c>
      <c r="K338" s="47">
        <v>913.0</v>
      </c>
      <c r="L338" s="47">
        <v>8215.0</v>
      </c>
      <c r="M338" s="46" t="s">
        <v>49</v>
      </c>
      <c r="N338" s="46" t="s">
        <v>62</v>
      </c>
      <c r="O338" s="46" t="s">
        <v>57</v>
      </c>
      <c r="P338" s="43"/>
      <c r="Q338" s="43"/>
      <c r="R338" s="43"/>
      <c r="S338" s="43"/>
      <c r="T338" s="43"/>
      <c r="U338" s="43"/>
      <c r="V338" s="43"/>
      <c r="W338" s="43"/>
      <c r="X338" s="43"/>
      <c r="Y338" s="43"/>
      <c r="Z338" s="43"/>
    </row>
    <row r="339" ht="14.25" customHeight="1">
      <c r="A339" s="48">
        <v>20419.0</v>
      </c>
      <c r="B339" s="44">
        <v>45958.0</v>
      </c>
      <c r="C339" s="48" t="s">
        <v>73</v>
      </c>
      <c r="D339" s="48" t="s">
        <v>52</v>
      </c>
      <c r="E339" s="48" t="s">
        <v>59</v>
      </c>
      <c r="F339" s="48" t="s">
        <v>60</v>
      </c>
      <c r="G339" s="48">
        <v>3.0</v>
      </c>
      <c r="H339" s="49">
        <v>180.0</v>
      </c>
      <c r="I339" s="49">
        <v>540.0</v>
      </c>
      <c r="J339" s="48">
        <v>15.0</v>
      </c>
      <c r="K339" s="49">
        <v>81.0</v>
      </c>
      <c r="L339" s="49">
        <v>459.0</v>
      </c>
      <c r="M339" s="48" t="s">
        <v>71</v>
      </c>
      <c r="N339" s="48" t="s">
        <v>50</v>
      </c>
      <c r="O339" s="48" t="s">
        <v>69</v>
      </c>
      <c r="P339" s="43"/>
      <c r="Q339" s="43"/>
      <c r="R339" s="43"/>
      <c r="S339" s="43"/>
      <c r="T339" s="43"/>
      <c r="U339" s="43"/>
      <c r="V339" s="43"/>
      <c r="W339" s="43"/>
      <c r="X339" s="43"/>
      <c r="Y339" s="43"/>
      <c r="Z339" s="43"/>
    </row>
    <row r="340" ht="14.25" customHeight="1">
      <c r="A340" s="48">
        <v>20017.0</v>
      </c>
      <c r="B340" s="44">
        <v>45959.0</v>
      </c>
      <c r="C340" s="48" t="s">
        <v>63</v>
      </c>
      <c r="D340" s="48" t="s">
        <v>64</v>
      </c>
      <c r="E340" s="48" t="s">
        <v>26</v>
      </c>
      <c r="F340" s="48" t="s">
        <v>104</v>
      </c>
      <c r="G340" s="48">
        <v>12.0</v>
      </c>
      <c r="H340" s="49">
        <v>180.0</v>
      </c>
      <c r="I340" s="49">
        <v>2160.0</v>
      </c>
      <c r="J340" s="48">
        <v>0.0</v>
      </c>
      <c r="K340" s="49">
        <v>0.0</v>
      </c>
      <c r="L340" s="49">
        <v>2160.0</v>
      </c>
      <c r="M340" s="48" t="s">
        <v>87</v>
      </c>
      <c r="N340" s="48" t="s">
        <v>50</v>
      </c>
      <c r="O340" s="48" t="s">
        <v>44</v>
      </c>
      <c r="P340" s="43"/>
      <c r="Q340" s="43"/>
      <c r="R340" s="43"/>
      <c r="S340" s="43"/>
      <c r="T340" s="43"/>
      <c r="U340" s="43"/>
      <c r="V340" s="43"/>
      <c r="W340" s="43"/>
      <c r="X340" s="43"/>
      <c r="Y340" s="43"/>
      <c r="Z340" s="43"/>
    </row>
    <row r="341" ht="14.25" customHeight="1">
      <c r="A341" s="46">
        <v>20070.0</v>
      </c>
      <c r="B341" s="44">
        <v>45959.0</v>
      </c>
      <c r="C341" s="46" t="s">
        <v>99</v>
      </c>
      <c r="D341" s="46" t="s">
        <v>64</v>
      </c>
      <c r="E341" s="46" t="s">
        <v>59</v>
      </c>
      <c r="F341" s="46" t="s">
        <v>79</v>
      </c>
      <c r="G341" s="46">
        <v>9.0</v>
      </c>
      <c r="H341" s="47">
        <v>196.0</v>
      </c>
      <c r="I341" s="47">
        <v>1764.0</v>
      </c>
      <c r="J341" s="46">
        <v>0.0</v>
      </c>
      <c r="K341" s="47">
        <v>0.0</v>
      </c>
      <c r="L341" s="47">
        <v>1764.0</v>
      </c>
      <c r="M341" s="46" t="s">
        <v>81</v>
      </c>
      <c r="N341" s="46" t="s">
        <v>50</v>
      </c>
      <c r="O341" s="46" t="s">
        <v>44</v>
      </c>
      <c r="P341" s="43"/>
      <c r="Q341" s="43"/>
      <c r="R341" s="43"/>
      <c r="S341" s="43"/>
      <c r="T341" s="43"/>
      <c r="U341" s="43"/>
      <c r="V341" s="43"/>
      <c r="W341" s="43"/>
      <c r="X341" s="43"/>
      <c r="Y341" s="43"/>
      <c r="Z341" s="43"/>
    </row>
    <row r="342" ht="14.25" customHeight="1">
      <c r="A342" s="46">
        <v>20326.0</v>
      </c>
      <c r="B342" s="44">
        <v>45959.0</v>
      </c>
      <c r="C342" s="46" t="s">
        <v>89</v>
      </c>
      <c r="D342" s="46" t="s">
        <v>46</v>
      </c>
      <c r="E342" s="46" t="s">
        <v>77</v>
      </c>
      <c r="F342" s="46" t="s">
        <v>90</v>
      </c>
      <c r="G342" s="46">
        <v>14.0</v>
      </c>
      <c r="H342" s="47">
        <v>3342.0</v>
      </c>
      <c r="I342" s="47">
        <v>46788.0</v>
      </c>
      <c r="J342" s="46">
        <v>10.0</v>
      </c>
      <c r="K342" s="47">
        <v>4679.0</v>
      </c>
      <c r="L342" s="47">
        <v>42109.0</v>
      </c>
      <c r="M342" s="46" t="s">
        <v>87</v>
      </c>
      <c r="N342" s="46" t="s">
        <v>72</v>
      </c>
      <c r="O342" s="46" t="s">
        <v>44</v>
      </c>
      <c r="P342" s="43"/>
      <c r="Q342" s="43"/>
      <c r="R342" s="43"/>
      <c r="S342" s="43"/>
      <c r="T342" s="43"/>
      <c r="U342" s="43"/>
      <c r="V342" s="43"/>
      <c r="W342" s="43"/>
      <c r="X342" s="43"/>
      <c r="Y342" s="43"/>
      <c r="Z342" s="43"/>
    </row>
    <row r="343" ht="14.25" customHeight="1">
      <c r="A343" s="48">
        <v>20391.0</v>
      </c>
      <c r="B343" s="44">
        <v>45959.0</v>
      </c>
      <c r="C343" s="48" t="s">
        <v>58</v>
      </c>
      <c r="D343" s="48" t="s">
        <v>25</v>
      </c>
      <c r="E343" s="48" t="s">
        <v>59</v>
      </c>
      <c r="F343" s="48" t="s">
        <v>60</v>
      </c>
      <c r="G343" s="48">
        <v>5.0</v>
      </c>
      <c r="H343" s="49">
        <v>102.0</v>
      </c>
      <c r="I343" s="49">
        <v>510.0</v>
      </c>
      <c r="J343" s="48">
        <v>10.0</v>
      </c>
      <c r="K343" s="49">
        <v>51.0</v>
      </c>
      <c r="L343" s="49">
        <v>459.0</v>
      </c>
      <c r="M343" s="48" t="s">
        <v>87</v>
      </c>
      <c r="N343" s="48" t="s">
        <v>43</v>
      </c>
      <c r="O343" s="48" t="s">
        <v>44</v>
      </c>
      <c r="P343" s="43"/>
      <c r="Q343" s="43"/>
      <c r="R343" s="43"/>
      <c r="S343" s="43"/>
      <c r="T343" s="43"/>
      <c r="U343" s="43"/>
      <c r="V343" s="43"/>
      <c r="W343" s="43"/>
      <c r="X343" s="43"/>
      <c r="Y343" s="43"/>
      <c r="Z343" s="43"/>
    </row>
    <row r="344" ht="14.25" customHeight="1">
      <c r="A344" s="46">
        <v>20024.0</v>
      </c>
      <c r="B344" s="44">
        <v>45962.0</v>
      </c>
      <c r="C344" s="46" t="s">
        <v>92</v>
      </c>
      <c r="D344" s="46" t="s">
        <v>25</v>
      </c>
      <c r="E344" s="46" t="s">
        <v>77</v>
      </c>
      <c r="F344" s="46" t="s">
        <v>110</v>
      </c>
      <c r="G344" s="46">
        <v>2.0</v>
      </c>
      <c r="H344" s="47">
        <v>5642.0</v>
      </c>
      <c r="I344" s="47">
        <v>11284.0</v>
      </c>
      <c r="J344" s="46">
        <v>5.0</v>
      </c>
      <c r="K344" s="47">
        <v>564.0</v>
      </c>
      <c r="L344" s="47">
        <v>10720.0</v>
      </c>
      <c r="M344" s="46" t="s">
        <v>49</v>
      </c>
      <c r="N344" s="46" t="s">
        <v>56</v>
      </c>
      <c r="O344" s="46" t="s">
        <v>57</v>
      </c>
      <c r="P344" s="43"/>
      <c r="Q344" s="43"/>
      <c r="R344" s="43"/>
      <c r="S344" s="43"/>
      <c r="T344" s="43"/>
      <c r="U344" s="43"/>
      <c r="V344" s="43"/>
      <c r="W344" s="43"/>
      <c r="X344" s="43"/>
      <c r="Y344" s="43"/>
      <c r="Z344" s="43"/>
    </row>
    <row r="345" ht="14.25" customHeight="1">
      <c r="A345" s="46">
        <v>20044.0</v>
      </c>
      <c r="B345" s="44">
        <v>45962.0</v>
      </c>
      <c r="C345" s="46" t="s">
        <v>84</v>
      </c>
      <c r="D345" s="46" t="s">
        <v>46</v>
      </c>
      <c r="E345" s="46" t="s">
        <v>59</v>
      </c>
      <c r="F345" s="46" t="s">
        <v>83</v>
      </c>
      <c r="G345" s="46">
        <v>14.0</v>
      </c>
      <c r="H345" s="47">
        <v>288.0</v>
      </c>
      <c r="I345" s="47">
        <v>4032.0</v>
      </c>
      <c r="J345" s="46">
        <v>15.0</v>
      </c>
      <c r="K345" s="47">
        <v>605.0</v>
      </c>
      <c r="L345" s="47">
        <v>3427.0</v>
      </c>
      <c r="M345" s="46" t="s">
        <v>42</v>
      </c>
      <c r="N345" s="46" t="s">
        <v>43</v>
      </c>
      <c r="O345" s="46" t="s">
        <v>44</v>
      </c>
      <c r="P345" s="43"/>
      <c r="Q345" s="43"/>
      <c r="R345" s="43"/>
      <c r="S345" s="43"/>
      <c r="T345" s="43"/>
      <c r="U345" s="43"/>
      <c r="V345" s="43"/>
      <c r="W345" s="43"/>
      <c r="X345" s="43"/>
      <c r="Y345" s="43"/>
      <c r="Z345" s="43"/>
    </row>
    <row r="346" ht="14.25" customHeight="1">
      <c r="A346" s="48">
        <v>20071.0</v>
      </c>
      <c r="B346" s="44">
        <v>45962.0</v>
      </c>
      <c r="C346" s="48" t="s">
        <v>89</v>
      </c>
      <c r="D346" s="48" t="s">
        <v>46</v>
      </c>
      <c r="E346" s="48" t="s">
        <v>59</v>
      </c>
      <c r="F346" s="48" t="s">
        <v>79</v>
      </c>
      <c r="G346" s="48">
        <v>8.0</v>
      </c>
      <c r="H346" s="49">
        <v>199.0</v>
      </c>
      <c r="I346" s="49">
        <v>1592.0</v>
      </c>
      <c r="J346" s="48">
        <v>10.0</v>
      </c>
      <c r="K346" s="49">
        <v>159.0</v>
      </c>
      <c r="L346" s="49">
        <v>1433.0</v>
      </c>
      <c r="M346" s="48" t="s">
        <v>42</v>
      </c>
      <c r="N346" s="48" t="s">
        <v>43</v>
      </c>
      <c r="O346" s="48" t="s">
        <v>69</v>
      </c>
      <c r="P346" s="43"/>
      <c r="Q346" s="43"/>
      <c r="R346" s="43"/>
      <c r="S346" s="43"/>
      <c r="T346" s="43"/>
      <c r="U346" s="43"/>
      <c r="V346" s="43"/>
      <c r="W346" s="43"/>
      <c r="X346" s="43"/>
      <c r="Y346" s="43"/>
      <c r="Z346" s="43"/>
    </row>
    <row r="347" ht="14.25" customHeight="1">
      <c r="A347" s="46">
        <v>20128.0</v>
      </c>
      <c r="B347" s="44">
        <v>45962.0</v>
      </c>
      <c r="C347" s="46" t="s">
        <v>92</v>
      </c>
      <c r="D347" s="46" t="s">
        <v>25</v>
      </c>
      <c r="E347" s="46" t="s">
        <v>53</v>
      </c>
      <c r="F347" s="46" t="s">
        <v>54</v>
      </c>
      <c r="G347" s="46">
        <v>7.0</v>
      </c>
      <c r="H347" s="47">
        <v>560.0</v>
      </c>
      <c r="I347" s="47">
        <v>3920.0</v>
      </c>
      <c r="J347" s="46">
        <v>0.0</v>
      </c>
      <c r="K347" s="47">
        <v>0.0</v>
      </c>
      <c r="L347" s="47">
        <v>3920.0</v>
      </c>
      <c r="M347" s="46" t="s">
        <v>61</v>
      </c>
      <c r="N347" s="46" t="s">
        <v>56</v>
      </c>
      <c r="O347" s="46" t="s">
        <v>44</v>
      </c>
      <c r="P347" s="43"/>
      <c r="Q347" s="43"/>
      <c r="R347" s="43"/>
      <c r="S347" s="43"/>
      <c r="T347" s="43"/>
      <c r="U347" s="43"/>
      <c r="V347" s="43"/>
      <c r="W347" s="43"/>
      <c r="X347" s="43"/>
      <c r="Y347" s="43"/>
      <c r="Z347" s="43"/>
    </row>
    <row r="348" ht="14.25" customHeight="1">
      <c r="A348" s="46">
        <v>20036.0</v>
      </c>
      <c r="B348" s="44">
        <v>45963.0</v>
      </c>
      <c r="C348" s="46" t="s">
        <v>24</v>
      </c>
      <c r="D348" s="46" t="s">
        <v>52</v>
      </c>
      <c r="E348" s="46" t="s">
        <v>53</v>
      </c>
      <c r="F348" s="46" t="s">
        <v>98</v>
      </c>
      <c r="G348" s="46">
        <v>13.0</v>
      </c>
      <c r="H348" s="47">
        <v>1540.0</v>
      </c>
      <c r="I348" s="47">
        <v>20020.0</v>
      </c>
      <c r="J348" s="46">
        <v>5.0</v>
      </c>
      <c r="K348" s="47">
        <v>1001.0</v>
      </c>
      <c r="L348" s="47">
        <v>19019.0</v>
      </c>
      <c r="M348" s="46" t="s">
        <v>49</v>
      </c>
      <c r="N348" s="46" t="s">
        <v>50</v>
      </c>
      <c r="O348" s="46" t="s">
        <v>44</v>
      </c>
      <c r="P348" s="43"/>
      <c r="Q348" s="43"/>
      <c r="R348" s="43"/>
      <c r="S348" s="43"/>
      <c r="T348" s="43"/>
      <c r="U348" s="43"/>
      <c r="V348" s="43"/>
      <c r="W348" s="43"/>
      <c r="X348" s="43"/>
      <c r="Y348" s="43"/>
      <c r="Z348" s="43"/>
    </row>
    <row r="349" ht="14.25" customHeight="1">
      <c r="A349" s="46">
        <v>20072.0</v>
      </c>
      <c r="B349" s="44">
        <v>45964.0</v>
      </c>
      <c r="C349" s="46" t="s">
        <v>93</v>
      </c>
      <c r="D349" s="46" t="s">
        <v>25</v>
      </c>
      <c r="E349" s="46" t="s">
        <v>59</v>
      </c>
      <c r="F349" s="46" t="s">
        <v>85</v>
      </c>
      <c r="G349" s="46">
        <v>10.0</v>
      </c>
      <c r="H349" s="47">
        <v>177.0</v>
      </c>
      <c r="I349" s="47">
        <v>1770.0</v>
      </c>
      <c r="J349" s="46">
        <v>20.0</v>
      </c>
      <c r="K349" s="47">
        <v>354.0</v>
      </c>
      <c r="L349" s="47">
        <v>1416.0</v>
      </c>
      <c r="M349" s="46" t="s">
        <v>96</v>
      </c>
      <c r="N349" s="46" t="s">
        <v>56</v>
      </c>
      <c r="O349" s="46" t="s">
        <v>69</v>
      </c>
      <c r="P349" s="43"/>
      <c r="Q349" s="43"/>
      <c r="R349" s="43"/>
      <c r="S349" s="43"/>
      <c r="T349" s="43"/>
      <c r="U349" s="43"/>
      <c r="V349" s="43"/>
      <c r="W349" s="43"/>
      <c r="X349" s="43"/>
      <c r="Y349" s="43"/>
      <c r="Z349" s="43"/>
    </row>
    <row r="350" ht="14.25" customHeight="1">
      <c r="A350" s="48">
        <v>20109.0</v>
      </c>
      <c r="B350" s="44">
        <v>45965.0</v>
      </c>
      <c r="C350" s="48" t="s">
        <v>89</v>
      </c>
      <c r="D350" s="48" t="s">
        <v>46</v>
      </c>
      <c r="E350" s="48" t="s">
        <v>53</v>
      </c>
      <c r="F350" s="48" t="s">
        <v>102</v>
      </c>
      <c r="G350" s="48">
        <v>10.0</v>
      </c>
      <c r="H350" s="49">
        <v>615.0</v>
      </c>
      <c r="I350" s="49">
        <v>6150.0</v>
      </c>
      <c r="J350" s="48">
        <v>0.0</v>
      </c>
      <c r="K350" s="49">
        <v>0.0</v>
      </c>
      <c r="L350" s="49">
        <v>6150.0</v>
      </c>
      <c r="M350" s="48" t="s">
        <v>71</v>
      </c>
      <c r="N350" s="48" t="s">
        <v>72</v>
      </c>
      <c r="O350" s="48" t="s">
        <v>57</v>
      </c>
      <c r="P350" s="43"/>
      <c r="Q350" s="43"/>
      <c r="R350" s="43"/>
      <c r="S350" s="43"/>
      <c r="T350" s="43"/>
      <c r="U350" s="43"/>
      <c r="V350" s="43"/>
      <c r="W350" s="43"/>
      <c r="X350" s="43"/>
      <c r="Y350" s="43"/>
      <c r="Z350" s="43"/>
    </row>
    <row r="351" ht="14.25" customHeight="1">
      <c r="A351" s="46">
        <v>20286.0</v>
      </c>
      <c r="B351" s="44">
        <v>45966.0</v>
      </c>
      <c r="C351" s="46" t="s">
        <v>63</v>
      </c>
      <c r="D351" s="46" t="s">
        <v>64</v>
      </c>
      <c r="E351" s="46" t="s">
        <v>26</v>
      </c>
      <c r="F351" s="46" t="s">
        <v>70</v>
      </c>
      <c r="G351" s="46">
        <v>8.0</v>
      </c>
      <c r="H351" s="47">
        <v>120.0</v>
      </c>
      <c r="I351" s="47">
        <v>960.0</v>
      </c>
      <c r="J351" s="46">
        <v>0.0</v>
      </c>
      <c r="K351" s="47">
        <v>0.0</v>
      </c>
      <c r="L351" s="47">
        <v>960.0</v>
      </c>
      <c r="M351" s="46" t="s">
        <v>68</v>
      </c>
      <c r="N351" s="46" t="s">
        <v>72</v>
      </c>
      <c r="O351" s="46" t="s">
        <v>69</v>
      </c>
      <c r="P351" s="43"/>
      <c r="Q351" s="43"/>
      <c r="R351" s="43"/>
      <c r="S351" s="43"/>
      <c r="T351" s="43"/>
      <c r="U351" s="43"/>
      <c r="V351" s="43"/>
      <c r="W351" s="43"/>
      <c r="X351" s="43"/>
      <c r="Y351" s="43"/>
      <c r="Z351" s="43"/>
    </row>
    <row r="352" ht="14.25" customHeight="1">
      <c r="A352" s="46">
        <v>20344.0</v>
      </c>
      <c r="B352" s="44">
        <v>45967.0</v>
      </c>
      <c r="C352" s="46" t="s">
        <v>89</v>
      </c>
      <c r="D352" s="46" t="s">
        <v>46</v>
      </c>
      <c r="E352" s="46" t="s">
        <v>47</v>
      </c>
      <c r="F352" s="46" t="s">
        <v>103</v>
      </c>
      <c r="G352" s="46">
        <v>4.0</v>
      </c>
      <c r="H352" s="47">
        <v>1112.0</v>
      </c>
      <c r="I352" s="47">
        <v>4448.0</v>
      </c>
      <c r="J352" s="46">
        <v>20.0</v>
      </c>
      <c r="K352" s="47">
        <v>890.0</v>
      </c>
      <c r="L352" s="47">
        <v>3558.0</v>
      </c>
      <c r="M352" s="46" t="s">
        <v>42</v>
      </c>
      <c r="N352" s="46" t="s">
        <v>72</v>
      </c>
      <c r="O352" s="46" t="s">
        <v>57</v>
      </c>
      <c r="P352" s="43"/>
      <c r="Q352" s="43"/>
      <c r="R352" s="43"/>
      <c r="S352" s="43"/>
      <c r="T352" s="43"/>
      <c r="U352" s="43"/>
      <c r="V352" s="43"/>
      <c r="W352" s="43"/>
      <c r="X352" s="43"/>
      <c r="Y352" s="43"/>
      <c r="Z352" s="43"/>
    </row>
    <row r="353" ht="14.25" customHeight="1">
      <c r="A353" s="46">
        <v>20054.0</v>
      </c>
      <c r="B353" s="44">
        <v>45968.0</v>
      </c>
      <c r="C353" s="46" t="s">
        <v>58</v>
      </c>
      <c r="D353" s="46" t="s">
        <v>25</v>
      </c>
      <c r="E353" s="46" t="s">
        <v>77</v>
      </c>
      <c r="F353" s="46" t="s">
        <v>101</v>
      </c>
      <c r="G353" s="46">
        <v>2.0</v>
      </c>
      <c r="H353" s="47">
        <v>3455.0</v>
      </c>
      <c r="I353" s="47">
        <v>6910.0</v>
      </c>
      <c r="J353" s="46">
        <v>5.0</v>
      </c>
      <c r="K353" s="47">
        <v>346.0</v>
      </c>
      <c r="L353" s="47">
        <v>6564.0</v>
      </c>
      <c r="M353" s="46" t="s">
        <v>106</v>
      </c>
      <c r="N353" s="46" t="s">
        <v>62</v>
      </c>
      <c r="O353" s="46" t="s">
        <v>57</v>
      </c>
      <c r="P353" s="43"/>
      <c r="Q353" s="43"/>
      <c r="R353" s="43"/>
      <c r="S353" s="43"/>
      <c r="T353" s="43"/>
      <c r="U353" s="43"/>
      <c r="V353" s="43"/>
      <c r="W353" s="43"/>
      <c r="X353" s="43"/>
      <c r="Y353" s="43"/>
      <c r="Z353" s="43"/>
    </row>
    <row r="354" ht="14.25" customHeight="1">
      <c r="A354" s="48">
        <v>20375.0</v>
      </c>
      <c r="B354" s="44">
        <v>45968.0</v>
      </c>
      <c r="C354" s="48" t="s">
        <v>92</v>
      </c>
      <c r="D354" s="48" t="s">
        <v>25</v>
      </c>
      <c r="E354" s="48" t="s">
        <v>53</v>
      </c>
      <c r="F354" s="48" t="s">
        <v>75</v>
      </c>
      <c r="G354" s="48">
        <v>15.0</v>
      </c>
      <c r="H354" s="49">
        <v>1801.0</v>
      </c>
      <c r="I354" s="49">
        <v>27015.0</v>
      </c>
      <c r="J354" s="48">
        <v>15.0</v>
      </c>
      <c r="K354" s="49">
        <v>4052.0</v>
      </c>
      <c r="L354" s="49">
        <v>22963.0</v>
      </c>
      <c r="M354" s="48" t="s">
        <v>71</v>
      </c>
      <c r="N354" s="48" t="s">
        <v>62</v>
      </c>
      <c r="O354" s="48" t="s">
        <v>57</v>
      </c>
      <c r="P354" s="43"/>
      <c r="Q354" s="43"/>
      <c r="R354" s="43"/>
      <c r="S354" s="43"/>
      <c r="T354" s="43"/>
      <c r="U354" s="43"/>
      <c r="V354" s="43"/>
      <c r="W354" s="43"/>
      <c r="X354" s="43"/>
      <c r="Y354" s="43"/>
      <c r="Z354" s="43"/>
    </row>
    <row r="355" ht="14.25" customHeight="1">
      <c r="A355" s="48">
        <v>20137.0</v>
      </c>
      <c r="B355" s="44">
        <v>45969.0</v>
      </c>
      <c r="C355" s="48" t="s">
        <v>24</v>
      </c>
      <c r="D355" s="48" t="s">
        <v>52</v>
      </c>
      <c r="E355" s="48" t="s">
        <v>26</v>
      </c>
      <c r="F355" s="48" t="s">
        <v>74</v>
      </c>
      <c r="G355" s="48">
        <v>4.0</v>
      </c>
      <c r="H355" s="49">
        <v>428.0</v>
      </c>
      <c r="I355" s="49">
        <v>1712.0</v>
      </c>
      <c r="J355" s="48">
        <v>15.0</v>
      </c>
      <c r="K355" s="49">
        <v>257.0</v>
      </c>
      <c r="L355" s="49">
        <v>1455.0</v>
      </c>
      <c r="M355" s="48" t="s">
        <v>49</v>
      </c>
      <c r="N355" s="48" t="s">
        <v>43</v>
      </c>
      <c r="O355" s="48" t="s">
        <v>69</v>
      </c>
      <c r="P355" s="43"/>
      <c r="Q355" s="43"/>
      <c r="R355" s="43"/>
      <c r="S355" s="43"/>
      <c r="T355" s="43"/>
      <c r="U355" s="43"/>
      <c r="V355" s="43"/>
      <c r="W355" s="43"/>
      <c r="X355" s="43"/>
      <c r="Y355" s="43"/>
      <c r="Z355" s="43"/>
    </row>
    <row r="356" ht="14.25" customHeight="1">
      <c r="A356" s="46">
        <v>20314.0</v>
      </c>
      <c r="B356" s="44">
        <v>45969.0</v>
      </c>
      <c r="C356" s="46" t="s">
        <v>89</v>
      </c>
      <c r="D356" s="46" t="s">
        <v>46</v>
      </c>
      <c r="E356" s="46" t="s">
        <v>53</v>
      </c>
      <c r="F356" s="46" t="s">
        <v>48</v>
      </c>
      <c r="G356" s="46">
        <v>15.0</v>
      </c>
      <c r="H356" s="47">
        <v>1013.0</v>
      </c>
      <c r="I356" s="47">
        <v>15195.0</v>
      </c>
      <c r="J356" s="46">
        <v>0.0</v>
      </c>
      <c r="K356" s="47">
        <v>0.0</v>
      </c>
      <c r="L356" s="47">
        <v>15195.0</v>
      </c>
      <c r="M356" s="46" t="s">
        <v>42</v>
      </c>
      <c r="N356" s="46" t="s">
        <v>72</v>
      </c>
      <c r="O356" s="46" t="s">
        <v>57</v>
      </c>
      <c r="P356" s="43"/>
      <c r="Q356" s="43"/>
      <c r="R356" s="43"/>
      <c r="S356" s="43"/>
      <c r="T356" s="43"/>
      <c r="U356" s="43"/>
      <c r="V356" s="43"/>
      <c r="W356" s="43"/>
      <c r="X356" s="43"/>
      <c r="Y356" s="43"/>
      <c r="Z356" s="43"/>
    </row>
    <row r="357" ht="14.25" customHeight="1">
      <c r="A357" s="46">
        <v>20214.0</v>
      </c>
      <c r="B357" s="44">
        <v>45972.0</v>
      </c>
      <c r="C357" s="46" t="s">
        <v>51</v>
      </c>
      <c r="D357" s="46" t="s">
        <v>52</v>
      </c>
      <c r="E357" s="46" t="s">
        <v>53</v>
      </c>
      <c r="F357" s="46" t="s">
        <v>102</v>
      </c>
      <c r="G357" s="46">
        <v>11.0</v>
      </c>
      <c r="H357" s="47">
        <v>1221.0</v>
      </c>
      <c r="I357" s="47">
        <v>13431.0</v>
      </c>
      <c r="J357" s="46">
        <v>0.0</v>
      </c>
      <c r="K357" s="47">
        <v>0.0</v>
      </c>
      <c r="L357" s="47">
        <v>13431.0</v>
      </c>
      <c r="M357" s="46" t="s">
        <v>87</v>
      </c>
      <c r="N357" s="46" t="s">
        <v>43</v>
      </c>
      <c r="O357" s="46" t="s">
        <v>44</v>
      </c>
      <c r="P357" s="43"/>
      <c r="Q357" s="43"/>
      <c r="R357" s="43"/>
      <c r="S357" s="43"/>
      <c r="T357" s="43"/>
      <c r="U357" s="43"/>
      <c r="V357" s="43"/>
      <c r="W357" s="43"/>
      <c r="X357" s="43"/>
      <c r="Y357" s="43"/>
      <c r="Z357" s="43"/>
    </row>
    <row r="358" ht="14.25" customHeight="1">
      <c r="A358" s="46">
        <v>20242.0</v>
      </c>
      <c r="B358" s="44">
        <v>45973.0</v>
      </c>
      <c r="C358" s="46" t="s">
        <v>76</v>
      </c>
      <c r="D358" s="46" t="s">
        <v>64</v>
      </c>
      <c r="E358" s="46" t="s">
        <v>77</v>
      </c>
      <c r="F358" s="46" t="s">
        <v>78</v>
      </c>
      <c r="G358" s="46">
        <v>13.0</v>
      </c>
      <c r="H358" s="47">
        <v>5570.0</v>
      </c>
      <c r="I358" s="47">
        <v>72410.0</v>
      </c>
      <c r="J358" s="46">
        <v>10.0</v>
      </c>
      <c r="K358" s="47">
        <v>7241.0</v>
      </c>
      <c r="L358" s="47">
        <v>65169.0</v>
      </c>
      <c r="M358" s="46" t="s">
        <v>87</v>
      </c>
      <c r="N358" s="46" t="s">
        <v>50</v>
      </c>
      <c r="O358" s="46" t="s">
        <v>44</v>
      </c>
      <c r="P358" s="43"/>
      <c r="Q358" s="43"/>
      <c r="R358" s="43"/>
      <c r="S358" s="43"/>
      <c r="T358" s="43"/>
      <c r="U358" s="43"/>
      <c r="V358" s="43"/>
      <c r="W358" s="43"/>
      <c r="X358" s="43"/>
      <c r="Y358" s="43"/>
      <c r="Z358" s="43"/>
    </row>
    <row r="359" ht="14.25" customHeight="1">
      <c r="A359" s="48">
        <v>20067.0</v>
      </c>
      <c r="B359" s="44">
        <v>45974.0</v>
      </c>
      <c r="C359" s="48" t="s">
        <v>63</v>
      </c>
      <c r="D359" s="48" t="s">
        <v>64</v>
      </c>
      <c r="E359" s="48" t="s">
        <v>47</v>
      </c>
      <c r="F359" s="48" t="s">
        <v>27</v>
      </c>
      <c r="G359" s="48">
        <v>8.0</v>
      </c>
      <c r="H359" s="49">
        <v>1449.0</v>
      </c>
      <c r="I359" s="49">
        <v>11592.0</v>
      </c>
      <c r="J359" s="48">
        <v>10.0</v>
      </c>
      <c r="K359" s="49">
        <v>1159.0</v>
      </c>
      <c r="L359" s="49">
        <v>10433.0</v>
      </c>
      <c r="M359" s="48" t="s">
        <v>49</v>
      </c>
      <c r="N359" s="48" t="s">
        <v>62</v>
      </c>
      <c r="O359" s="48" t="s">
        <v>57</v>
      </c>
      <c r="P359" s="43"/>
      <c r="Q359" s="43"/>
      <c r="R359" s="43"/>
      <c r="S359" s="43"/>
      <c r="T359" s="43"/>
      <c r="U359" s="43"/>
      <c r="V359" s="43"/>
      <c r="W359" s="43"/>
      <c r="X359" s="43"/>
      <c r="Y359" s="43"/>
      <c r="Z359" s="43"/>
    </row>
    <row r="360" ht="14.25" customHeight="1">
      <c r="A360" s="46">
        <v>20306.0</v>
      </c>
      <c r="B360" s="44">
        <v>45974.0</v>
      </c>
      <c r="C360" s="46" t="s">
        <v>51</v>
      </c>
      <c r="D360" s="46" t="s">
        <v>52</v>
      </c>
      <c r="E360" s="46" t="s">
        <v>26</v>
      </c>
      <c r="F360" s="46" t="s">
        <v>111</v>
      </c>
      <c r="G360" s="46">
        <v>15.0</v>
      </c>
      <c r="H360" s="47">
        <v>459.0</v>
      </c>
      <c r="I360" s="47">
        <v>6885.0</v>
      </c>
      <c r="J360" s="46">
        <v>0.0</v>
      </c>
      <c r="K360" s="47">
        <v>0.0</v>
      </c>
      <c r="L360" s="47">
        <v>6885.0</v>
      </c>
      <c r="M360" s="46" t="s">
        <v>55</v>
      </c>
      <c r="N360" s="46" t="s">
        <v>62</v>
      </c>
      <c r="O360" s="46" t="s">
        <v>44</v>
      </c>
      <c r="P360" s="43"/>
      <c r="Q360" s="43"/>
      <c r="R360" s="43"/>
      <c r="S360" s="43"/>
      <c r="T360" s="43"/>
      <c r="U360" s="43"/>
      <c r="V360" s="43"/>
      <c r="W360" s="43"/>
      <c r="X360" s="43"/>
      <c r="Y360" s="43"/>
      <c r="Z360" s="43"/>
    </row>
    <row r="361" ht="14.25" customHeight="1">
      <c r="A361" s="48">
        <v>20331.0</v>
      </c>
      <c r="B361" s="44">
        <v>45974.0</v>
      </c>
      <c r="C361" s="48" t="s">
        <v>58</v>
      </c>
      <c r="D361" s="48" t="s">
        <v>25</v>
      </c>
      <c r="E361" s="48" t="s">
        <v>53</v>
      </c>
      <c r="F361" s="48" t="s">
        <v>102</v>
      </c>
      <c r="G361" s="48">
        <v>13.0</v>
      </c>
      <c r="H361" s="49">
        <v>705.0</v>
      </c>
      <c r="I361" s="49">
        <v>9165.0</v>
      </c>
      <c r="J361" s="48">
        <v>20.0</v>
      </c>
      <c r="K361" s="49">
        <v>1833.0</v>
      </c>
      <c r="L361" s="49">
        <v>7332.0</v>
      </c>
      <c r="M361" s="48" t="s">
        <v>96</v>
      </c>
      <c r="N361" s="48" t="s">
        <v>56</v>
      </c>
      <c r="O361" s="48" t="s">
        <v>69</v>
      </c>
      <c r="P361" s="43"/>
      <c r="Q361" s="43"/>
      <c r="R361" s="43"/>
      <c r="S361" s="43"/>
      <c r="T361" s="43"/>
      <c r="U361" s="43"/>
      <c r="V361" s="43"/>
      <c r="W361" s="43"/>
      <c r="X361" s="43"/>
      <c r="Y361" s="43"/>
      <c r="Z361" s="43"/>
    </row>
    <row r="362" ht="14.25" customHeight="1">
      <c r="A362" s="48">
        <v>20237.0</v>
      </c>
      <c r="B362" s="44">
        <v>45975.0</v>
      </c>
      <c r="C362" s="48" t="s">
        <v>93</v>
      </c>
      <c r="D362" s="48" t="s">
        <v>25</v>
      </c>
      <c r="E362" s="48" t="s">
        <v>53</v>
      </c>
      <c r="F362" s="48" t="s">
        <v>102</v>
      </c>
      <c r="G362" s="48">
        <v>8.0</v>
      </c>
      <c r="H362" s="49">
        <v>1085.0</v>
      </c>
      <c r="I362" s="49">
        <v>8680.0</v>
      </c>
      <c r="J362" s="48">
        <v>15.0</v>
      </c>
      <c r="K362" s="49">
        <v>1302.0</v>
      </c>
      <c r="L362" s="49">
        <v>7378.0</v>
      </c>
      <c r="M362" s="48" t="s">
        <v>42</v>
      </c>
      <c r="N362" s="48" t="s">
        <v>43</v>
      </c>
      <c r="O362" s="48" t="s">
        <v>57</v>
      </c>
      <c r="P362" s="43"/>
      <c r="Q362" s="43"/>
      <c r="R362" s="43"/>
      <c r="S362" s="43"/>
      <c r="T362" s="43"/>
      <c r="U362" s="43"/>
      <c r="V362" s="43"/>
      <c r="W362" s="43"/>
      <c r="X362" s="43"/>
      <c r="Y362" s="43"/>
      <c r="Z362" s="43"/>
    </row>
    <row r="363" ht="14.25" customHeight="1">
      <c r="A363" s="48">
        <v>20345.0</v>
      </c>
      <c r="B363" s="44">
        <v>45975.0</v>
      </c>
      <c r="C363" s="48" t="s">
        <v>82</v>
      </c>
      <c r="D363" s="48" t="s">
        <v>52</v>
      </c>
      <c r="E363" s="48" t="s">
        <v>53</v>
      </c>
      <c r="F363" s="48" t="s">
        <v>98</v>
      </c>
      <c r="G363" s="48">
        <v>8.0</v>
      </c>
      <c r="H363" s="49">
        <v>1854.0</v>
      </c>
      <c r="I363" s="49">
        <v>14832.0</v>
      </c>
      <c r="J363" s="48">
        <v>0.0</v>
      </c>
      <c r="K363" s="49">
        <v>0.0</v>
      </c>
      <c r="L363" s="49">
        <v>14832.0</v>
      </c>
      <c r="M363" s="48" t="s">
        <v>55</v>
      </c>
      <c r="N363" s="48" t="s">
        <v>72</v>
      </c>
      <c r="O363" s="48" t="s">
        <v>57</v>
      </c>
      <c r="P363" s="43"/>
      <c r="Q363" s="43"/>
      <c r="R363" s="43"/>
      <c r="S363" s="43"/>
      <c r="T363" s="43"/>
      <c r="U363" s="43"/>
      <c r="V363" s="43"/>
      <c r="W363" s="43"/>
      <c r="X363" s="43"/>
      <c r="Y363" s="43"/>
      <c r="Z363" s="43"/>
    </row>
    <row r="364" ht="14.25" customHeight="1">
      <c r="A364" s="46">
        <v>20050.0</v>
      </c>
      <c r="B364" s="44">
        <v>45976.0</v>
      </c>
      <c r="C364" s="46" t="s">
        <v>97</v>
      </c>
      <c r="D364" s="46" t="s">
        <v>25</v>
      </c>
      <c r="E364" s="46" t="s">
        <v>59</v>
      </c>
      <c r="F364" s="46" t="s">
        <v>83</v>
      </c>
      <c r="G364" s="46">
        <v>10.0</v>
      </c>
      <c r="H364" s="47">
        <v>279.0</v>
      </c>
      <c r="I364" s="47">
        <v>2790.0</v>
      </c>
      <c r="J364" s="46">
        <v>20.0</v>
      </c>
      <c r="K364" s="47">
        <v>558.0</v>
      </c>
      <c r="L364" s="47">
        <v>2232.0</v>
      </c>
      <c r="M364" s="46" t="s">
        <v>42</v>
      </c>
      <c r="N364" s="46" t="s">
        <v>50</v>
      </c>
      <c r="O364" s="46" t="s">
        <v>69</v>
      </c>
      <c r="P364" s="43"/>
      <c r="Q364" s="43"/>
      <c r="R364" s="43"/>
      <c r="S364" s="43"/>
      <c r="T364" s="43"/>
      <c r="U364" s="43"/>
      <c r="V364" s="43"/>
      <c r="W364" s="43"/>
      <c r="X364" s="43"/>
      <c r="Y364" s="43"/>
      <c r="Z364" s="43"/>
    </row>
    <row r="365" ht="14.25" customHeight="1">
      <c r="A365" s="46">
        <v>20268.0</v>
      </c>
      <c r="B365" s="44">
        <v>45976.0</v>
      </c>
      <c r="C365" s="46" t="s">
        <v>63</v>
      </c>
      <c r="D365" s="46" t="s">
        <v>64</v>
      </c>
      <c r="E365" s="46" t="s">
        <v>59</v>
      </c>
      <c r="F365" s="46" t="s">
        <v>85</v>
      </c>
      <c r="G365" s="46">
        <v>10.0</v>
      </c>
      <c r="H365" s="47">
        <v>160.0</v>
      </c>
      <c r="I365" s="47">
        <v>1600.0</v>
      </c>
      <c r="J365" s="46">
        <v>20.0</v>
      </c>
      <c r="K365" s="47">
        <v>320.0</v>
      </c>
      <c r="L365" s="47">
        <v>1280.0</v>
      </c>
      <c r="M365" s="46" t="s">
        <v>106</v>
      </c>
      <c r="N365" s="46" t="s">
        <v>50</v>
      </c>
      <c r="O365" s="46" t="s">
        <v>69</v>
      </c>
      <c r="P365" s="43"/>
      <c r="Q365" s="43"/>
      <c r="R365" s="43"/>
      <c r="S365" s="43"/>
      <c r="T365" s="43"/>
      <c r="U365" s="43"/>
      <c r="V365" s="43"/>
      <c r="W365" s="43"/>
      <c r="X365" s="43"/>
      <c r="Y365" s="43"/>
      <c r="Z365" s="43"/>
    </row>
    <row r="366" ht="14.25" customHeight="1">
      <c r="A366" s="46">
        <v>20122.0</v>
      </c>
      <c r="B366" s="44">
        <v>45979.0</v>
      </c>
      <c r="C366" s="46" t="s">
        <v>84</v>
      </c>
      <c r="D366" s="46" t="s">
        <v>46</v>
      </c>
      <c r="E366" s="46" t="s">
        <v>77</v>
      </c>
      <c r="F366" s="46" t="s">
        <v>110</v>
      </c>
      <c r="G366" s="46">
        <v>2.0</v>
      </c>
      <c r="H366" s="47">
        <v>4522.0</v>
      </c>
      <c r="I366" s="47">
        <v>9044.0</v>
      </c>
      <c r="J366" s="46">
        <v>10.0</v>
      </c>
      <c r="K366" s="47">
        <v>904.0</v>
      </c>
      <c r="L366" s="47">
        <v>8140.0</v>
      </c>
      <c r="M366" s="46" t="s">
        <v>81</v>
      </c>
      <c r="N366" s="46" t="s">
        <v>72</v>
      </c>
      <c r="O366" s="46" t="s">
        <v>57</v>
      </c>
      <c r="P366" s="43"/>
      <c r="Q366" s="43"/>
      <c r="R366" s="43"/>
      <c r="S366" s="43"/>
      <c r="T366" s="43"/>
      <c r="U366" s="43"/>
      <c r="V366" s="43"/>
      <c r="W366" s="43"/>
      <c r="X366" s="43"/>
      <c r="Y366" s="43"/>
      <c r="Z366" s="43"/>
    </row>
    <row r="367" ht="14.25" customHeight="1">
      <c r="A367" s="46">
        <v>20066.0</v>
      </c>
      <c r="B367" s="44">
        <v>45980.0</v>
      </c>
      <c r="C367" s="46" t="s">
        <v>93</v>
      </c>
      <c r="D367" s="46" t="s">
        <v>25</v>
      </c>
      <c r="E367" s="46" t="s">
        <v>77</v>
      </c>
      <c r="F367" s="46" t="s">
        <v>78</v>
      </c>
      <c r="G367" s="46">
        <v>13.0</v>
      </c>
      <c r="H367" s="47">
        <v>1597.0</v>
      </c>
      <c r="I367" s="47">
        <v>20761.0</v>
      </c>
      <c r="J367" s="46">
        <v>20.0</v>
      </c>
      <c r="K367" s="47">
        <v>4152.0</v>
      </c>
      <c r="L367" s="47">
        <v>16609.0</v>
      </c>
      <c r="M367" s="46" t="s">
        <v>61</v>
      </c>
      <c r="N367" s="46" t="s">
        <v>56</v>
      </c>
      <c r="O367" s="46" t="s">
        <v>57</v>
      </c>
      <c r="P367" s="43"/>
      <c r="Q367" s="43"/>
      <c r="R367" s="43"/>
      <c r="S367" s="43"/>
      <c r="T367" s="43"/>
      <c r="U367" s="43"/>
      <c r="V367" s="43"/>
      <c r="W367" s="43"/>
      <c r="X367" s="43"/>
      <c r="Y367" s="43"/>
      <c r="Z367" s="43"/>
    </row>
    <row r="368" ht="14.25" customHeight="1">
      <c r="A368" s="48">
        <v>20385.0</v>
      </c>
      <c r="B368" s="44">
        <v>45980.0</v>
      </c>
      <c r="C368" s="48" t="s">
        <v>93</v>
      </c>
      <c r="D368" s="48" t="s">
        <v>25</v>
      </c>
      <c r="E368" s="48" t="s">
        <v>47</v>
      </c>
      <c r="F368" s="48" t="s">
        <v>65</v>
      </c>
      <c r="G368" s="48">
        <v>1.0</v>
      </c>
      <c r="H368" s="49">
        <v>1859.0</v>
      </c>
      <c r="I368" s="49">
        <v>1859.0</v>
      </c>
      <c r="J368" s="48">
        <v>10.0</v>
      </c>
      <c r="K368" s="49">
        <v>186.0</v>
      </c>
      <c r="L368" s="49">
        <v>1673.0</v>
      </c>
      <c r="M368" s="48" t="s">
        <v>49</v>
      </c>
      <c r="N368" s="48" t="s">
        <v>62</v>
      </c>
      <c r="O368" s="48" t="s">
        <v>57</v>
      </c>
      <c r="P368" s="43"/>
      <c r="Q368" s="43"/>
      <c r="R368" s="43"/>
      <c r="S368" s="43"/>
      <c r="T368" s="43"/>
      <c r="U368" s="43"/>
      <c r="V368" s="43"/>
      <c r="W368" s="43"/>
      <c r="X368" s="43"/>
      <c r="Y368" s="43"/>
      <c r="Z368" s="43"/>
    </row>
    <row r="369" ht="14.25" customHeight="1">
      <c r="A369" s="46">
        <v>20376.0</v>
      </c>
      <c r="B369" s="44">
        <v>45981.0</v>
      </c>
      <c r="C369" s="46" t="s">
        <v>97</v>
      </c>
      <c r="D369" s="46" t="s">
        <v>25</v>
      </c>
      <c r="E369" s="46" t="s">
        <v>47</v>
      </c>
      <c r="F369" s="46" t="s">
        <v>103</v>
      </c>
      <c r="G369" s="46">
        <v>7.0</v>
      </c>
      <c r="H369" s="47">
        <v>1266.0</v>
      </c>
      <c r="I369" s="47">
        <v>8862.0</v>
      </c>
      <c r="J369" s="46">
        <v>10.0</v>
      </c>
      <c r="K369" s="47">
        <v>886.0</v>
      </c>
      <c r="L369" s="47">
        <v>7976.0</v>
      </c>
      <c r="M369" s="46" t="s">
        <v>87</v>
      </c>
      <c r="N369" s="46" t="s">
        <v>43</v>
      </c>
      <c r="O369" s="46" t="s">
        <v>57</v>
      </c>
      <c r="P369" s="43"/>
      <c r="Q369" s="43"/>
      <c r="R369" s="43"/>
      <c r="S369" s="43"/>
      <c r="T369" s="43"/>
      <c r="U369" s="43"/>
      <c r="V369" s="43"/>
      <c r="W369" s="43"/>
      <c r="X369" s="43"/>
      <c r="Y369" s="43"/>
      <c r="Z369" s="43"/>
    </row>
    <row r="370" ht="14.25" customHeight="1">
      <c r="A370" s="48">
        <v>20105.0</v>
      </c>
      <c r="B370" s="44">
        <v>45982.0</v>
      </c>
      <c r="C370" s="48" t="s">
        <v>84</v>
      </c>
      <c r="D370" s="48" t="s">
        <v>46</v>
      </c>
      <c r="E370" s="48" t="s">
        <v>59</v>
      </c>
      <c r="F370" s="48" t="s">
        <v>83</v>
      </c>
      <c r="G370" s="48">
        <v>9.0</v>
      </c>
      <c r="H370" s="49">
        <v>369.0</v>
      </c>
      <c r="I370" s="49">
        <v>3321.0</v>
      </c>
      <c r="J370" s="48">
        <v>0.0</v>
      </c>
      <c r="K370" s="49">
        <v>0.0</v>
      </c>
      <c r="L370" s="49">
        <v>3321.0</v>
      </c>
      <c r="M370" s="48" t="s">
        <v>71</v>
      </c>
      <c r="N370" s="48" t="s">
        <v>56</v>
      </c>
      <c r="O370" s="48" t="s">
        <v>57</v>
      </c>
      <c r="P370" s="43"/>
      <c r="Q370" s="43"/>
      <c r="R370" s="43"/>
      <c r="S370" s="43"/>
      <c r="T370" s="43"/>
      <c r="U370" s="43"/>
      <c r="V370" s="43"/>
      <c r="W370" s="43"/>
      <c r="X370" s="43"/>
      <c r="Y370" s="43"/>
      <c r="Z370" s="43"/>
    </row>
    <row r="371" ht="14.25" customHeight="1">
      <c r="A371" s="46">
        <v>20356.0</v>
      </c>
      <c r="B371" s="44">
        <v>45982.0</v>
      </c>
      <c r="C371" s="46" t="s">
        <v>45</v>
      </c>
      <c r="D371" s="46" t="s">
        <v>46</v>
      </c>
      <c r="E371" s="46" t="s">
        <v>47</v>
      </c>
      <c r="F371" s="46" t="s">
        <v>103</v>
      </c>
      <c r="G371" s="46">
        <v>12.0</v>
      </c>
      <c r="H371" s="47">
        <v>1403.0</v>
      </c>
      <c r="I371" s="47">
        <v>16836.0</v>
      </c>
      <c r="J371" s="46">
        <v>5.0</v>
      </c>
      <c r="K371" s="47">
        <v>842.0</v>
      </c>
      <c r="L371" s="47">
        <v>15994.0</v>
      </c>
      <c r="M371" s="46" t="s">
        <v>68</v>
      </c>
      <c r="N371" s="46" t="s">
        <v>62</v>
      </c>
      <c r="O371" s="46" t="s">
        <v>69</v>
      </c>
      <c r="P371" s="43"/>
      <c r="Q371" s="43"/>
      <c r="R371" s="43"/>
      <c r="S371" s="43"/>
      <c r="T371" s="43"/>
      <c r="U371" s="43"/>
      <c r="V371" s="43"/>
      <c r="W371" s="43"/>
      <c r="X371" s="43"/>
      <c r="Y371" s="43"/>
      <c r="Z371" s="43"/>
    </row>
    <row r="372" ht="14.25" customHeight="1">
      <c r="A372" s="48">
        <v>20007.0</v>
      </c>
      <c r="B372" s="44">
        <v>45983.0</v>
      </c>
      <c r="C372" s="48" t="s">
        <v>80</v>
      </c>
      <c r="D372" s="48" t="s">
        <v>64</v>
      </c>
      <c r="E372" s="48" t="s">
        <v>47</v>
      </c>
      <c r="F372" s="48" t="s">
        <v>65</v>
      </c>
      <c r="G372" s="48">
        <v>3.0</v>
      </c>
      <c r="H372" s="49">
        <v>2480.0</v>
      </c>
      <c r="I372" s="49">
        <v>7440.0</v>
      </c>
      <c r="J372" s="48">
        <v>0.0</v>
      </c>
      <c r="K372" s="49">
        <v>0.0</v>
      </c>
      <c r="L372" s="49">
        <v>7440.0</v>
      </c>
      <c r="M372" s="48" t="s">
        <v>55</v>
      </c>
      <c r="N372" s="48" t="s">
        <v>62</v>
      </c>
      <c r="O372" s="48" t="s">
        <v>69</v>
      </c>
      <c r="P372" s="43"/>
      <c r="Q372" s="43"/>
      <c r="R372" s="43"/>
      <c r="S372" s="43"/>
      <c r="T372" s="43"/>
      <c r="U372" s="43"/>
      <c r="V372" s="43"/>
      <c r="W372" s="43"/>
      <c r="X372" s="43"/>
      <c r="Y372" s="43"/>
      <c r="Z372" s="43"/>
    </row>
    <row r="373" ht="14.25" customHeight="1">
      <c r="A373" s="48">
        <v>20311.0</v>
      </c>
      <c r="B373" s="44">
        <v>45983.0</v>
      </c>
      <c r="C373" s="48" t="s">
        <v>58</v>
      </c>
      <c r="D373" s="48" t="s">
        <v>25</v>
      </c>
      <c r="E373" s="48" t="s">
        <v>26</v>
      </c>
      <c r="F373" s="48" t="s">
        <v>100</v>
      </c>
      <c r="G373" s="48">
        <v>6.0</v>
      </c>
      <c r="H373" s="49">
        <v>620.0</v>
      </c>
      <c r="I373" s="49">
        <v>3720.0</v>
      </c>
      <c r="J373" s="48">
        <v>10.0</v>
      </c>
      <c r="K373" s="49">
        <v>372.0</v>
      </c>
      <c r="L373" s="49">
        <v>3348.0</v>
      </c>
      <c r="M373" s="48" t="s">
        <v>87</v>
      </c>
      <c r="N373" s="48" t="s">
        <v>72</v>
      </c>
      <c r="O373" s="48" t="s">
        <v>44</v>
      </c>
      <c r="P373" s="43"/>
      <c r="Q373" s="43"/>
      <c r="R373" s="43"/>
      <c r="S373" s="43"/>
      <c r="T373" s="43"/>
      <c r="U373" s="43"/>
      <c r="V373" s="43"/>
      <c r="W373" s="43"/>
      <c r="X373" s="43"/>
      <c r="Y373" s="43"/>
      <c r="Z373" s="43"/>
    </row>
    <row r="374" ht="14.25" customHeight="1">
      <c r="A374" s="46">
        <v>20396.0</v>
      </c>
      <c r="B374" s="44">
        <v>45983.0</v>
      </c>
      <c r="C374" s="46" t="s">
        <v>97</v>
      </c>
      <c r="D374" s="46" t="s">
        <v>25</v>
      </c>
      <c r="E374" s="46" t="s">
        <v>26</v>
      </c>
      <c r="F374" s="46" t="s">
        <v>100</v>
      </c>
      <c r="G374" s="46">
        <v>8.0</v>
      </c>
      <c r="H374" s="47">
        <v>565.0</v>
      </c>
      <c r="I374" s="47">
        <v>4520.0</v>
      </c>
      <c r="J374" s="46">
        <v>0.0</v>
      </c>
      <c r="K374" s="47">
        <v>0.0</v>
      </c>
      <c r="L374" s="47">
        <v>4520.0</v>
      </c>
      <c r="M374" s="46" t="s">
        <v>71</v>
      </c>
      <c r="N374" s="46" t="s">
        <v>56</v>
      </c>
      <c r="O374" s="46" t="s">
        <v>69</v>
      </c>
      <c r="P374" s="43"/>
      <c r="Q374" s="43"/>
      <c r="R374" s="43"/>
      <c r="S374" s="43"/>
      <c r="T374" s="43"/>
      <c r="U374" s="43"/>
      <c r="V374" s="43"/>
      <c r="W374" s="43"/>
      <c r="X374" s="43"/>
      <c r="Y374" s="43"/>
      <c r="Z374" s="43"/>
    </row>
    <row r="375" ht="14.25" customHeight="1">
      <c r="A375" s="48">
        <v>20177.0</v>
      </c>
      <c r="B375" s="44">
        <v>45984.0</v>
      </c>
      <c r="C375" s="48" t="s">
        <v>63</v>
      </c>
      <c r="D375" s="48" t="s">
        <v>64</v>
      </c>
      <c r="E375" s="48" t="s">
        <v>26</v>
      </c>
      <c r="F375" s="48" t="s">
        <v>104</v>
      </c>
      <c r="G375" s="48">
        <v>7.0</v>
      </c>
      <c r="H375" s="49">
        <v>458.0</v>
      </c>
      <c r="I375" s="49">
        <v>3206.0</v>
      </c>
      <c r="J375" s="48">
        <v>0.0</v>
      </c>
      <c r="K375" s="49">
        <v>0.0</v>
      </c>
      <c r="L375" s="49">
        <v>3206.0</v>
      </c>
      <c r="M375" s="48" t="s">
        <v>87</v>
      </c>
      <c r="N375" s="48" t="s">
        <v>50</v>
      </c>
      <c r="O375" s="48" t="s">
        <v>44</v>
      </c>
      <c r="P375" s="43"/>
      <c r="Q375" s="43"/>
      <c r="R375" s="43"/>
      <c r="S375" s="43"/>
      <c r="T375" s="43"/>
      <c r="U375" s="43"/>
      <c r="V375" s="43"/>
      <c r="W375" s="43"/>
      <c r="X375" s="43"/>
      <c r="Y375" s="43"/>
      <c r="Z375" s="43"/>
    </row>
    <row r="376" ht="14.25" customHeight="1">
      <c r="A376" s="46">
        <v>20226.0</v>
      </c>
      <c r="B376" s="44">
        <v>45984.0</v>
      </c>
      <c r="C376" s="46" t="s">
        <v>92</v>
      </c>
      <c r="D376" s="46" t="s">
        <v>25</v>
      </c>
      <c r="E376" s="46" t="s">
        <v>26</v>
      </c>
      <c r="F376" s="46" t="s">
        <v>100</v>
      </c>
      <c r="G376" s="46">
        <v>11.0</v>
      </c>
      <c r="H376" s="47">
        <v>483.0</v>
      </c>
      <c r="I376" s="47">
        <v>5313.0</v>
      </c>
      <c r="J376" s="46">
        <v>10.0</v>
      </c>
      <c r="K376" s="47">
        <v>531.0</v>
      </c>
      <c r="L376" s="47">
        <v>4782.0</v>
      </c>
      <c r="M376" s="46" t="s">
        <v>61</v>
      </c>
      <c r="N376" s="46" t="s">
        <v>72</v>
      </c>
      <c r="O376" s="46" t="s">
        <v>44</v>
      </c>
      <c r="P376" s="43"/>
      <c r="Q376" s="43"/>
      <c r="R376" s="43"/>
      <c r="S376" s="43"/>
      <c r="T376" s="43"/>
      <c r="U376" s="43"/>
      <c r="V376" s="43"/>
      <c r="W376" s="43"/>
      <c r="X376" s="43"/>
      <c r="Y376" s="43"/>
      <c r="Z376" s="43"/>
    </row>
    <row r="377" ht="14.25" customHeight="1">
      <c r="A377" s="66">
        <v>20001.0</v>
      </c>
      <c r="B377" s="67">
        <v>45985.0</v>
      </c>
      <c r="C377" s="50" t="s">
        <v>58</v>
      </c>
      <c r="D377" s="50" t="s">
        <v>46</v>
      </c>
      <c r="E377" s="45" t="s">
        <v>26</v>
      </c>
      <c r="F377" s="48" t="s">
        <v>94</v>
      </c>
      <c r="G377" s="48">
        <v>5.0</v>
      </c>
      <c r="H377" s="49">
        <v>370.0</v>
      </c>
      <c r="I377" s="49">
        <v>1850.0</v>
      </c>
      <c r="J377" s="48">
        <v>15.0</v>
      </c>
      <c r="K377" s="49">
        <v>278.0</v>
      </c>
      <c r="L377" s="49">
        <v>1572.0</v>
      </c>
      <c r="M377" s="48" t="s">
        <v>87</v>
      </c>
      <c r="N377" s="48" t="s">
        <v>62</v>
      </c>
      <c r="O377" s="48" t="s">
        <v>57</v>
      </c>
      <c r="P377" s="43"/>
      <c r="Q377" s="68" t="s">
        <v>261</v>
      </c>
      <c r="R377" s="43" t="str">
        <f t="array" ref="R377:W377">TRANSPOSE(UNIQUE(E377:E795))</f>
        <v>Groceries</v>
      </c>
      <c r="S377" s="43" t="s">
        <v>59</v>
      </c>
      <c r="T377" s="43" t="s">
        <v>53</v>
      </c>
      <c r="U377" s="43" t="s">
        <v>77</v>
      </c>
      <c r="V377" s="43" t="s">
        <v>47</v>
      </c>
      <c r="W377" s="43"/>
      <c r="X377" s="43"/>
      <c r="Y377" s="43"/>
      <c r="Z377" s="43"/>
    </row>
    <row r="378" ht="14.25" customHeight="1">
      <c r="A378" s="46">
        <v>20204.0</v>
      </c>
      <c r="B378" s="44">
        <v>45986.0</v>
      </c>
      <c r="C378" s="46" t="s">
        <v>82</v>
      </c>
      <c r="D378" s="46" t="s">
        <v>52</v>
      </c>
      <c r="E378" s="46" t="s">
        <v>59</v>
      </c>
      <c r="F378" s="46" t="s">
        <v>60</v>
      </c>
      <c r="G378" s="46">
        <v>12.0</v>
      </c>
      <c r="H378" s="47">
        <v>428.0</v>
      </c>
      <c r="I378" s="47">
        <v>5136.0</v>
      </c>
      <c r="J378" s="46">
        <v>5.0</v>
      </c>
      <c r="K378" s="47">
        <v>257.0</v>
      </c>
      <c r="L378" s="47">
        <v>4879.0</v>
      </c>
      <c r="M378" s="46" t="s">
        <v>68</v>
      </c>
      <c r="N378" s="46" t="s">
        <v>56</v>
      </c>
      <c r="O378" s="46" t="s">
        <v>57</v>
      </c>
      <c r="P378" s="43"/>
      <c r="Q378" s="43"/>
      <c r="R378" s="43"/>
      <c r="S378" s="43"/>
      <c r="T378" s="43"/>
      <c r="U378" s="43"/>
      <c r="V378" s="43"/>
      <c r="W378" s="43"/>
      <c r="X378" s="43"/>
      <c r="Y378" s="43"/>
      <c r="Z378" s="43"/>
    </row>
    <row r="379" ht="14.25" customHeight="1">
      <c r="A379" s="46">
        <v>20148.0</v>
      </c>
      <c r="B379" s="44">
        <v>45988.0</v>
      </c>
      <c r="C379" s="46" t="s">
        <v>45</v>
      </c>
      <c r="D379" s="46" t="s">
        <v>46</v>
      </c>
      <c r="E379" s="46" t="s">
        <v>53</v>
      </c>
      <c r="F379" s="46" t="s">
        <v>48</v>
      </c>
      <c r="G379" s="46">
        <v>10.0</v>
      </c>
      <c r="H379" s="47">
        <v>613.0</v>
      </c>
      <c r="I379" s="47">
        <v>6130.0</v>
      </c>
      <c r="J379" s="46">
        <v>0.0</v>
      </c>
      <c r="K379" s="47">
        <v>0.0</v>
      </c>
      <c r="L379" s="47">
        <v>6130.0</v>
      </c>
      <c r="M379" s="46" t="s">
        <v>55</v>
      </c>
      <c r="N379" s="46" t="s">
        <v>43</v>
      </c>
      <c r="O379" s="46" t="s">
        <v>69</v>
      </c>
      <c r="P379" s="43"/>
      <c r="Q379" s="43"/>
      <c r="R379" s="43"/>
      <c r="S379" s="43"/>
      <c r="T379" s="43"/>
      <c r="U379" s="43"/>
      <c r="V379" s="43"/>
      <c r="W379" s="43"/>
      <c r="X379" s="43"/>
      <c r="Y379" s="43"/>
      <c r="Z379" s="43"/>
    </row>
    <row r="380" ht="14.25" customHeight="1">
      <c r="A380" s="46">
        <v>20370.0</v>
      </c>
      <c r="B380" s="44">
        <v>45988.0</v>
      </c>
      <c r="C380" s="46" t="s">
        <v>76</v>
      </c>
      <c r="D380" s="46" t="s">
        <v>64</v>
      </c>
      <c r="E380" s="46" t="s">
        <v>77</v>
      </c>
      <c r="F380" s="46" t="s">
        <v>78</v>
      </c>
      <c r="G380" s="46">
        <v>4.0</v>
      </c>
      <c r="H380" s="47">
        <v>2491.0</v>
      </c>
      <c r="I380" s="47">
        <v>9964.0</v>
      </c>
      <c r="J380" s="46">
        <v>20.0</v>
      </c>
      <c r="K380" s="47">
        <v>1993.0</v>
      </c>
      <c r="L380" s="47">
        <v>7971.0</v>
      </c>
      <c r="M380" s="46" t="s">
        <v>87</v>
      </c>
      <c r="N380" s="46" t="s">
        <v>43</v>
      </c>
      <c r="O380" s="46" t="s">
        <v>57</v>
      </c>
      <c r="P380" s="43"/>
      <c r="Q380" s="43"/>
      <c r="R380" s="43"/>
      <c r="S380" s="43"/>
      <c r="T380" s="43"/>
      <c r="U380" s="43"/>
      <c r="V380" s="43"/>
      <c r="W380" s="43"/>
      <c r="X380" s="43"/>
      <c r="Y380" s="43"/>
      <c r="Z380" s="43"/>
    </row>
    <row r="381" ht="14.25" customHeight="1">
      <c r="A381" s="46">
        <v>20016.0</v>
      </c>
      <c r="B381" s="44">
        <v>45990.0</v>
      </c>
      <c r="C381" s="46" t="s">
        <v>45</v>
      </c>
      <c r="D381" s="46" t="s">
        <v>46</v>
      </c>
      <c r="E381" s="46" t="s">
        <v>59</v>
      </c>
      <c r="F381" s="46" t="s">
        <v>83</v>
      </c>
      <c r="G381" s="46">
        <v>8.0</v>
      </c>
      <c r="H381" s="47">
        <v>92.0</v>
      </c>
      <c r="I381" s="47">
        <v>736.0</v>
      </c>
      <c r="J381" s="46">
        <v>0.0</v>
      </c>
      <c r="K381" s="47">
        <v>0.0</v>
      </c>
      <c r="L381" s="47">
        <v>736.0</v>
      </c>
      <c r="M381" s="46" t="s">
        <v>49</v>
      </c>
      <c r="N381" s="46" t="s">
        <v>56</v>
      </c>
      <c r="O381" s="46" t="s">
        <v>69</v>
      </c>
      <c r="P381" s="43"/>
      <c r="Q381" s="43"/>
      <c r="R381" s="43"/>
      <c r="S381" s="43"/>
      <c r="T381" s="43"/>
      <c r="U381" s="43"/>
      <c r="V381" s="43"/>
      <c r="W381" s="43"/>
      <c r="X381" s="43"/>
      <c r="Y381" s="43"/>
      <c r="Z381" s="43"/>
    </row>
    <row r="382" ht="14.25" customHeight="1">
      <c r="A382" s="48">
        <v>20253.0</v>
      </c>
      <c r="B382" s="44">
        <v>45990.0</v>
      </c>
      <c r="C382" s="48" t="s">
        <v>80</v>
      </c>
      <c r="D382" s="48" t="s">
        <v>64</v>
      </c>
      <c r="E382" s="48" t="s">
        <v>59</v>
      </c>
      <c r="F382" s="48" t="s">
        <v>85</v>
      </c>
      <c r="G382" s="48">
        <v>12.0</v>
      </c>
      <c r="H382" s="49">
        <v>137.0</v>
      </c>
      <c r="I382" s="49">
        <v>1644.0</v>
      </c>
      <c r="J382" s="48">
        <v>10.0</v>
      </c>
      <c r="K382" s="49">
        <v>164.0</v>
      </c>
      <c r="L382" s="49">
        <v>1480.0</v>
      </c>
      <c r="M382" s="48" t="s">
        <v>42</v>
      </c>
      <c r="N382" s="48" t="s">
        <v>50</v>
      </c>
      <c r="O382" s="48" t="s">
        <v>69</v>
      </c>
      <c r="P382" s="43"/>
      <c r="Q382" s="43"/>
      <c r="R382" s="43"/>
      <c r="S382" s="43"/>
      <c r="T382" s="43"/>
      <c r="U382" s="43"/>
      <c r="V382" s="43"/>
      <c r="W382" s="43"/>
      <c r="X382" s="43"/>
      <c r="Y382" s="43"/>
      <c r="Z382" s="43"/>
    </row>
    <row r="383" ht="14.25" customHeight="1">
      <c r="A383" s="46">
        <v>20260.0</v>
      </c>
      <c r="B383" s="44">
        <v>45990.0</v>
      </c>
      <c r="C383" s="46" t="s">
        <v>92</v>
      </c>
      <c r="D383" s="46" t="s">
        <v>25</v>
      </c>
      <c r="E383" s="46" t="s">
        <v>53</v>
      </c>
      <c r="F383" s="46" t="s">
        <v>98</v>
      </c>
      <c r="G383" s="46">
        <v>7.0</v>
      </c>
      <c r="H383" s="47">
        <v>799.0</v>
      </c>
      <c r="I383" s="47">
        <v>5593.0</v>
      </c>
      <c r="J383" s="46">
        <v>0.0</v>
      </c>
      <c r="K383" s="47">
        <v>0.0</v>
      </c>
      <c r="L383" s="47">
        <v>5593.0</v>
      </c>
      <c r="M383" s="46" t="s">
        <v>42</v>
      </c>
      <c r="N383" s="46" t="s">
        <v>56</v>
      </c>
      <c r="O383" s="46" t="s">
        <v>57</v>
      </c>
      <c r="P383" s="43"/>
      <c r="Q383" s="43"/>
      <c r="R383" s="43"/>
      <c r="S383" s="43"/>
      <c r="T383" s="43"/>
      <c r="U383" s="43"/>
      <c r="V383" s="43"/>
      <c r="W383" s="43"/>
      <c r="X383" s="43"/>
      <c r="Y383" s="43"/>
      <c r="Z383" s="43"/>
    </row>
    <row r="384" ht="14.25" customHeight="1">
      <c r="A384" s="48">
        <v>20021.0</v>
      </c>
      <c r="B384" s="44">
        <v>45991.0</v>
      </c>
      <c r="C384" s="48" t="s">
        <v>97</v>
      </c>
      <c r="D384" s="48" t="s">
        <v>25</v>
      </c>
      <c r="E384" s="48" t="s">
        <v>26</v>
      </c>
      <c r="F384" s="48" t="s">
        <v>100</v>
      </c>
      <c r="G384" s="48">
        <v>3.0</v>
      </c>
      <c r="H384" s="49">
        <v>536.0</v>
      </c>
      <c r="I384" s="49">
        <v>1608.0</v>
      </c>
      <c r="J384" s="48">
        <v>0.0</v>
      </c>
      <c r="K384" s="49">
        <v>0.0</v>
      </c>
      <c r="L384" s="49">
        <v>1608.0</v>
      </c>
      <c r="M384" s="48" t="s">
        <v>68</v>
      </c>
      <c r="N384" s="48" t="s">
        <v>43</v>
      </c>
      <c r="O384" s="48" t="s">
        <v>69</v>
      </c>
      <c r="P384" s="43"/>
      <c r="Q384" s="43"/>
      <c r="R384" s="43"/>
      <c r="S384" s="43"/>
      <c r="T384" s="43"/>
      <c r="U384" s="43"/>
      <c r="V384" s="43"/>
      <c r="W384" s="43"/>
      <c r="X384" s="43"/>
      <c r="Y384" s="43"/>
      <c r="Z384" s="43"/>
    </row>
    <row r="385" ht="14.25" customHeight="1">
      <c r="A385" s="46">
        <v>20158.0</v>
      </c>
      <c r="B385" s="44">
        <v>45991.0</v>
      </c>
      <c r="C385" s="46" t="s">
        <v>99</v>
      </c>
      <c r="D385" s="46" t="s">
        <v>64</v>
      </c>
      <c r="E385" s="46" t="s">
        <v>47</v>
      </c>
      <c r="F385" s="46" t="s">
        <v>27</v>
      </c>
      <c r="G385" s="46">
        <v>10.0</v>
      </c>
      <c r="H385" s="47">
        <v>1385.0</v>
      </c>
      <c r="I385" s="47">
        <v>13850.0</v>
      </c>
      <c r="J385" s="46">
        <v>15.0</v>
      </c>
      <c r="K385" s="47">
        <v>2078.0</v>
      </c>
      <c r="L385" s="47">
        <v>11772.0</v>
      </c>
      <c r="M385" s="46" t="s">
        <v>96</v>
      </c>
      <c r="N385" s="46" t="s">
        <v>43</v>
      </c>
      <c r="O385" s="46" t="s">
        <v>69</v>
      </c>
      <c r="P385" s="43"/>
      <c r="Q385" s="43"/>
      <c r="R385" s="43"/>
      <c r="S385" s="43"/>
      <c r="T385" s="43"/>
      <c r="U385" s="43"/>
      <c r="V385" s="43"/>
      <c r="W385" s="43"/>
      <c r="X385" s="43"/>
      <c r="Y385" s="43"/>
      <c r="Z385" s="43"/>
    </row>
    <row r="386" ht="14.25" customHeight="1">
      <c r="A386" s="46">
        <v>20178.0</v>
      </c>
      <c r="B386" s="44">
        <v>45992.0</v>
      </c>
      <c r="C386" s="46" t="s">
        <v>82</v>
      </c>
      <c r="D386" s="46" t="s">
        <v>52</v>
      </c>
      <c r="E386" s="46" t="s">
        <v>59</v>
      </c>
      <c r="F386" s="46" t="s">
        <v>60</v>
      </c>
      <c r="G386" s="46">
        <v>13.0</v>
      </c>
      <c r="H386" s="47">
        <v>390.0</v>
      </c>
      <c r="I386" s="47">
        <v>5070.0</v>
      </c>
      <c r="J386" s="46">
        <v>20.0</v>
      </c>
      <c r="K386" s="47">
        <v>1014.0</v>
      </c>
      <c r="L386" s="47">
        <v>4056.0</v>
      </c>
      <c r="M386" s="46" t="s">
        <v>71</v>
      </c>
      <c r="N386" s="46" t="s">
        <v>56</v>
      </c>
      <c r="O386" s="46" t="s">
        <v>69</v>
      </c>
      <c r="P386" s="43"/>
      <c r="Q386" s="43"/>
      <c r="R386" s="43"/>
      <c r="S386" s="43"/>
      <c r="T386" s="43"/>
      <c r="U386" s="43"/>
      <c r="V386" s="43"/>
      <c r="W386" s="43"/>
      <c r="X386" s="43"/>
      <c r="Y386" s="43"/>
      <c r="Z386" s="43"/>
    </row>
    <row r="387" ht="14.25" customHeight="1">
      <c r="A387" s="48">
        <v>20121.0</v>
      </c>
      <c r="B387" s="44">
        <v>45993.0</v>
      </c>
      <c r="C387" s="48" t="s">
        <v>92</v>
      </c>
      <c r="D387" s="48" t="s">
        <v>25</v>
      </c>
      <c r="E387" s="48" t="s">
        <v>77</v>
      </c>
      <c r="F387" s="48" t="s">
        <v>105</v>
      </c>
      <c r="G387" s="48">
        <v>8.0</v>
      </c>
      <c r="H387" s="49">
        <v>7080.0</v>
      </c>
      <c r="I387" s="49">
        <v>56640.0</v>
      </c>
      <c r="J387" s="48">
        <v>15.0</v>
      </c>
      <c r="K387" s="49">
        <v>8496.0</v>
      </c>
      <c r="L387" s="49">
        <v>48144.0</v>
      </c>
      <c r="M387" s="48" t="s">
        <v>49</v>
      </c>
      <c r="N387" s="48" t="s">
        <v>56</v>
      </c>
      <c r="O387" s="48" t="s">
        <v>44</v>
      </c>
      <c r="P387" s="43"/>
      <c r="Q387" s="43"/>
      <c r="R387" s="43"/>
      <c r="S387" s="43"/>
      <c r="T387" s="43"/>
      <c r="U387" s="43"/>
      <c r="V387" s="43"/>
      <c r="W387" s="43"/>
      <c r="X387" s="43"/>
      <c r="Y387" s="43"/>
      <c r="Z387" s="43"/>
    </row>
    <row r="388" ht="14.25" customHeight="1">
      <c r="A388" s="46">
        <v>20244.0</v>
      </c>
      <c r="B388" s="44">
        <v>45993.0</v>
      </c>
      <c r="C388" s="46" t="s">
        <v>76</v>
      </c>
      <c r="D388" s="46" t="s">
        <v>64</v>
      </c>
      <c r="E388" s="46" t="s">
        <v>77</v>
      </c>
      <c r="F388" s="46" t="s">
        <v>78</v>
      </c>
      <c r="G388" s="46">
        <v>3.0</v>
      </c>
      <c r="H388" s="47">
        <v>7686.0</v>
      </c>
      <c r="I388" s="47">
        <v>23058.0</v>
      </c>
      <c r="J388" s="46">
        <v>5.0</v>
      </c>
      <c r="K388" s="47">
        <v>1153.0</v>
      </c>
      <c r="L388" s="47">
        <v>21905.0</v>
      </c>
      <c r="M388" s="46" t="s">
        <v>68</v>
      </c>
      <c r="N388" s="46" t="s">
        <v>56</v>
      </c>
      <c r="O388" s="46" t="s">
        <v>57</v>
      </c>
      <c r="P388" s="43"/>
      <c r="Q388" s="43"/>
      <c r="R388" s="43"/>
      <c r="S388" s="43"/>
      <c r="T388" s="43"/>
      <c r="U388" s="43"/>
      <c r="V388" s="43"/>
      <c r="W388" s="43"/>
      <c r="X388" s="43"/>
      <c r="Y388" s="43"/>
      <c r="Z388" s="43"/>
    </row>
    <row r="389" ht="14.25" customHeight="1">
      <c r="A389" s="46">
        <v>20372.0</v>
      </c>
      <c r="B389" s="44">
        <v>45993.0</v>
      </c>
      <c r="C389" s="46" t="s">
        <v>63</v>
      </c>
      <c r="D389" s="46" t="s">
        <v>64</v>
      </c>
      <c r="E389" s="46" t="s">
        <v>26</v>
      </c>
      <c r="F389" s="46" t="s">
        <v>74</v>
      </c>
      <c r="G389" s="46">
        <v>10.0</v>
      </c>
      <c r="H389" s="47">
        <v>191.0</v>
      </c>
      <c r="I389" s="47">
        <v>1910.0</v>
      </c>
      <c r="J389" s="46">
        <v>5.0</v>
      </c>
      <c r="K389" s="47">
        <v>96.0</v>
      </c>
      <c r="L389" s="47">
        <v>1814.0</v>
      </c>
      <c r="M389" s="46" t="s">
        <v>55</v>
      </c>
      <c r="N389" s="46" t="s">
        <v>56</v>
      </c>
      <c r="O389" s="46" t="s">
        <v>57</v>
      </c>
      <c r="P389" s="43"/>
      <c r="Q389" s="43"/>
      <c r="R389" s="43"/>
      <c r="S389" s="43"/>
      <c r="T389" s="43"/>
      <c r="U389" s="43"/>
      <c r="V389" s="43"/>
      <c r="W389" s="43"/>
      <c r="X389" s="43"/>
      <c r="Y389" s="43"/>
      <c r="Z389" s="43"/>
    </row>
    <row r="390" ht="14.25" customHeight="1">
      <c r="A390" s="48">
        <v>20399.0</v>
      </c>
      <c r="B390" s="44">
        <v>45993.0</v>
      </c>
      <c r="C390" s="48" t="s">
        <v>97</v>
      </c>
      <c r="D390" s="48" t="s">
        <v>25</v>
      </c>
      <c r="E390" s="48" t="s">
        <v>77</v>
      </c>
      <c r="F390" s="48" t="s">
        <v>90</v>
      </c>
      <c r="G390" s="48">
        <v>5.0</v>
      </c>
      <c r="H390" s="49">
        <v>3792.0</v>
      </c>
      <c r="I390" s="49">
        <v>18960.0</v>
      </c>
      <c r="J390" s="48">
        <v>10.0</v>
      </c>
      <c r="K390" s="49">
        <v>1896.0</v>
      </c>
      <c r="L390" s="49">
        <v>17064.0</v>
      </c>
      <c r="M390" s="48" t="s">
        <v>106</v>
      </c>
      <c r="N390" s="48" t="s">
        <v>56</v>
      </c>
      <c r="O390" s="48" t="s">
        <v>69</v>
      </c>
      <c r="P390" s="43"/>
      <c r="Q390" s="43"/>
      <c r="R390" s="43"/>
      <c r="S390" s="43"/>
      <c r="T390" s="43"/>
      <c r="U390" s="43"/>
      <c r="V390" s="43"/>
      <c r="W390" s="43"/>
      <c r="X390" s="43"/>
      <c r="Y390" s="43"/>
      <c r="Z390" s="43"/>
    </row>
    <row r="391" ht="14.25" customHeight="1">
      <c r="A391" s="48">
        <v>20141.0</v>
      </c>
      <c r="B391" s="44">
        <v>45994.0</v>
      </c>
      <c r="C391" s="48" t="s">
        <v>58</v>
      </c>
      <c r="D391" s="48" t="s">
        <v>25</v>
      </c>
      <c r="E391" s="48" t="s">
        <v>47</v>
      </c>
      <c r="F391" s="48" t="s">
        <v>67</v>
      </c>
      <c r="G391" s="48">
        <v>3.0</v>
      </c>
      <c r="H391" s="49">
        <v>916.0</v>
      </c>
      <c r="I391" s="49">
        <v>2748.0</v>
      </c>
      <c r="J391" s="48">
        <v>20.0</v>
      </c>
      <c r="K391" s="49">
        <v>550.0</v>
      </c>
      <c r="L391" s="49">
        <v>2198.0</v>
      </c>
      <c r="M391" s="48" t="s">
        <v>42</v>
      </c>
      <c r="N391" s="48" t="s">
        <v>43</v>
      </c>
      <c r="O391" s="48" t="s">
        <v>57</v>
      </c>
      <c r="P391" s="43"/>
      <c r="Q391" s="43"/>
      <c r="R391" s="43"/>
      <c r="S391" s="43"/>
      <c r="T391" s="43"/>
      <c r="U391" s="43"/>
      <c r="V391" s="43"/>
      <c r="W391" s="43"/>
      <c r="X391" s="43"/>
      <c r="Y391" s="43"/>
      <c r="Z391" s="43"/>
    </row>
    <row r="392" ht="14.25" customHeight="1">
      <c r="A392" s="48">
        <v>20329.0</v>
      </c>
      <c r="B392" s="44">
        <v>45996.0</v>
      </c>
      <c r="C392" s="48" t="s">
        <v>58</v>
      </c>
      <c r="D392" s="48" t="s">
        <v>25</v>
      </c>
      <c r="E392" s="48" t="s">
        <v>26</v>
      </c>
      <c r="F392" s="48" t="s">
        <v>104</v>
      </c>
      <c r="G392" s="48">
        <v>12.0</v>
      </c>
      <c r="H392" s="49">
        <v>238.0</v>
      </c>
      <c r="I392" s="49">
        <v>2856.0</v>
      </c>
      <c r="J392" s="48">
        <v>10.0</v>
      </c>
      <c r="K392" s="49">
        <v>286.0</v>
      </c>
      <c r="L392" s="49">
        <v>2570.0</v>
      </c>
      <c r="M392" s="48" t="s">
        <v>96</v>
      </c>
      <c r="N392" s="48" t="s">
        <v>43</v>
      </c>
      <c r="O392" s="48" t="s">
        <v>57</v>
      </c>
      <c r="P392" s="43"/>
      <c r="Q392" s="43"/>
      <c r="R392" s="43"/>
      <c r="S392" s="43"/>
      <c r="T392" s="43"/>
      <c r="U392" s="43"/>
      <c r="V392" s="43"/>
      <c r="W392" s="43"/>
      <c r="X392" s="43"/>
      <c r="Y392" s="43"/>
      <c r="Z392" s="43"/>
    </row>
    <row r="393" ht="14.25" customHeight="1">
      <c r="A393" s="46">
        <v>20386.0</v>
      </c>
      <c r="B393" s="44">
        <v>45996.0</v>
      </c>
      <c r="C393" s="46" t="s">
        <v>89</v>
      </c>
      <c r="D393" s="46" t="s">
        <v>46</v>
      </c>
      <c r="E393" s="46" t="s">
        <v>26</v>
      </c>
      <c r="F393" s="46" t="s">
        <v>100</v>
      </c>
      <c r="G393" s="46">
        <v>8.0</v>
      </c>
      <c r="H393" s="47">
        <v>602.0</v>
      </c>
      <c r="I393" s="47">
        <v>4816.0</v>
      </c>
      <c r="J393" s="46">
        <v>20.0</v>
      </c>
      <c r="K393" s="47">
        <v>963.0</v>
      </c>
      <c r="L393" s="47">
        <v>3853.0</v>
      </c>
      <c r="M393" s="46" t="s">
        <v>61</v>
      </c>
      <c r="N393" s="46" t="s">
        <v>56</v>
      </c>
      <c r="O393" s="46" t="s">
        <v>69</v>
      </c>
      <c r="P393" s="43"/>
      <c r="Q393" s="43"/>
      <c r="R393" s="43"/>
      <c r="S393" s="43"/>
      <c r="T393" s="43"/>
      <c r="U393" s="43"/>
      <c r="V393" s="43"/>
      <c r="W393" s="43"/>
      <c r="X393" s="43"/>
      <c r="Y393" s="43"/>
      <c r="Z393" s="43"/>
    </row>
    <row r="394" ht="14.25" customHeight="1">
      <c r="A394" s="48">
        <v>20041.0</v>
      </c>
      <c r="B394" s="44">
        <v>45997.0</v>
      </c>
      <c r="C394" s="48" t="s">
        <v>84</v>
      </c>
      <c r="D394" s="48" t="s">
        <v>46</v>
      </c>
      <c r="E394" s="48" t="s">
        <v>26</v>
      </c>
      <c r="F394" s="48" t="s">
        <v>100</v>
      </c>
      <c r="G394" s="48">
        <v>11.0</v>
      </c>
      <c r="H394" s="49">
        <v>437.0</v>
      </c>
      <c r="I394" s="49">
        <v>4807.0</v>
      </c>
      <c r="J394" s="48">
        <v>0.0</v>
      </c>
      <c r="K394" s="49">
        <v>0.0</v>
      </c>
      <c r="L394" s="49">
        <v>4807.0</v>
      </c>
      <c r="M394" s="48" t="s">
        <v>106</v>
      </c>
      <c r="N394" s="48" t="s">
        <v>43</v>
      </c>
      <c r="O394" s="48" t="s">
        <v>57</v>
      </c>
      <c r="P394" s="43"/>
      <c r="Q394" s="43"/>
      <c r="R394" s="43"/>
      <c r="S394" s="43"/>
      <c r="T394" s="43"/>
      <c r="U394" s="43"/>
      <c r="V394" s="43"/>
      <c r="W394" s="43"/>
      <c r="X394" s="43"/>
      <c r="Y394" s="43"/>
      <c r="Z394" s="43"/>
    </row>
    <row r="395" ht="14.25" customHeight="1">
      <c r="A395" s="46">
        <v>20272.0</v>
      </c>
      <c r="B395" s="44">
        <v>45997.0</v>
      </c>
      <c r="C395" s="46" t="s">
        <v>76</v>
      </c>
      <c r="D395" s="46" t="s">
        <v>64</v>
      </c>
      <c r="E395" s="46" t="s">
        <v>77</v>
      </c>
      <c r="F395" s="46" t="s">
        <v>101</v>
      </c>
      <c r="G395" s="46">
        <v>5.0</v>
      </c>
      <c r="H395" s="47">
        <v>8486.0</v>
      </c>
      <c r="I395" s="47">
        <v>42430.0</v>
      </c>
      <c r="J395" s="46">
        <v>0.0</v>
      </c>
      <c r="K395" s="47">
        <v>0.0</v>
      </c>
      <c r="L395" s="47">
        <v>42430.0</v>
      </c>
      <c r="M395" s="46" t="s">
        <v>42</v>
      </c>
      <c r="N395" s="46" t="s">
        <v>72</v>
      </c>
      <c r="O395" s="46" t="s">
        <v>69</v>
      </c>
      <c r="P395" s="43"/>
      <c r="Q395" s="43"/>
      <c r="R395" s="43"/>
      <c r="S395" s="43"/>
      <c r="T395" s="43"/>
      <c r="U395" s="43"/>
      <c r="V395" s="43"/>
      <c r="W395" s="43"/>
      <c r="X395" s="43"/>
      <c r="Y395" s="43"/>
      <c r="Z395" s="43"/>
    </row>
    <row r="396" ht="14.25" customHeight="1">
      <c r="A396" s="48">
        <v>20355.0</v>
      </c>
      <c r="B396" s="44">
        <v>45998.0</v>
      </c>
      <c r="C396" s="48" t="s">
        <v>93</v>
      </c>
      <c r="D396" s="48" t="s">
        <v>25</v>
      </c>
      <c r="E396" s="48" t="s">
        <v>59</v>
      </c>
      <c r="F396" s="48" t="s">
        <v>86</v>
      </c>
      <c r="G396" s="48">
        <v>7.0</v>
      </c>
      <c r="H396" s="49">
        <v>66.0</v>
      </c>
      <c r="I396" s="49">
        <v>462.0</v>
      </c>
      <c r="J396" s="48">
        <v>0.0</v>
      </c>
      <c r="K396" s="49">
        <v>0.0</v>
      </c>
      <c r="L396" s="49">
        <v>462.0</v>
      </c>
      <c r="M396" s="48" t="s">
        <v>49</v>
      </c>
      <c r="N396" s="48" t="s">
        <v>43</v>
      </c>
      <c r="O396" s="48" t="s">
        <v>69</v>
      </c>
      <c r="P396" s="43"/>
      <c r="Q396" s="43"/>
      <c r="R396" s="43"/>
      <c r="S396" s="43"/>
      <c r="T396" s="43"/>
      <c r="U396" s="43"/>
      <c r="V396" s="43"/>
      <c r="W396" s="43"/>
      <c r="X396" s="43"/>
      <c r="Y396" s="43"/>
      <c r="Z396" s="43"/>
    </row>
    <row r="397" ht="14.25" customHeight="1">
      <c r="A397" s="46">
        <v>20088.0</v>
      </c>
      <c r="B397" s="44">
        <v>45999.0</v>
      </c>
      <c r="C397" s="46" t="s">
        <v>97</v>
      </c>
      <c r="D397" s="46" t="s">
        <v>25</v>
      </c>
      <c r="E397" s="46" t="s">
        <v>59</v>
      </c>
      <c r="F397" s="46" t="s">
        <v>85</v>
      </c>
      <c r="G397" s="46">
        <v>11.0</v>
      </c>
      <c r="H397" s="47">
        <v>236.0</v>
      </c>
      <c r="I397" s="47">
        <v>2596.0</v>
      </c>
      <c r="J397" s="46">
        <v>15.0</v>
      </c>
      <c r="K397" s="47">
        <v>389.0</v>
      </c>
      <c r="L397" s="47">
        <v>2207.0</v>
      </c>
      <c r="M397" s="46" t="s">
        <v>61</v>
      </c>
      <c r="N397" s="46" t="s">
        <v>72</v>
      </c>
      <c r="O397" s="46" t="s">
        <v>44</v>
      </c>
      <c r="P397" s="43"/>
      <c r="Q397" s="43"/>
      <c r="R397" s="43"/>
      <c r="S397" s="43"/>
      <c r="T397" s="43"/>
      <c r="U397" s="43"/>
      <c r="V397" s="43"/>
      <c r="W397" s="43"/>
      <c r="X397" s="43"/>
      <c r="Y397" s="43"/>
      <c r="Z397" s="43"/>
    </row>
    <row r="398" ht="14.25" customHeight="1">
      <c r="A398" s="46">
        <v>20018.0</v>
      </c>
      <c r="B398" s="44">
        <v>46000.0</v>
      </c>
      <c r="C398" s="46" t="s">
        <v>82</v>
      </c>
      <c r="D398" s="46" t="s">
        <v>52</v>
      </c>
      <c r="E398" s="46" t="s">
        <v>77</v>
      </c>
      <c r="F398" s="46" t="s">
        <v>88</v>
      </c>
      <c r="G398" s="46">
        <v>3.0</v>
      </c>
      <c r="H398" s="47">
        <v>2890.0</v>
      </c>
      <c r="I398" s="47">
        <v>8670.0</v>
      </c>
      <c r="J398" s="46">
        <v>0.0</v>
      </c>
      <c r="K398" s="47">
        <v>0.0</v>
      </c>
      <c r="L398" s="47">
        <v>8670.0</v>
      </c>
      <c r="M398" s="46" t="s">
        <v>71</v>
      </c>
      <c r="N398" s="46" t="s">
        <v>43</v>
      </c>
      <c r="O398" s="46" t="s">
        <v>44</v>
      </c>
      <c r="P398" s="43"/>
      <c r="Q398" s="43"/>
      <c r="R398" s="43"/>
      <c r="S398" s="43"/>
      <c r="T398" s="43"/>
      <c r="U398" s="43"/>
      <c r="V398" s="43"/>
      <c r="W398" s="43"/>
      <c r="X398" s="43"/>
      <c r="Y398" s="43"/>
      <c r="Z398" s="43"/>
    </row>
    <row r="399" ht="14.25" customHeight="1">
      <c r="A399" s="46">
        <v>20340.0</v>
      </c>
      <c r="B399" s="44">
        <v>46000.0</v>
      </c>
      <c r="C399" s="46" t="s">
        <v>84</v>
      </c>
      <c r="D399" s="46" t="s">
        <v>46</v>
      </c>
      <c r="E399" s="46" t="s">
        <v>47</v>
      </c>
      <c r="F399" s="46" t="s">
        <v>103</v>
      </c>
      <c r="G399" s="46">
        <v>12.0</v>
      </c>
      <c r="H399" s="47">
        <v>1217.0</v>
      </c>
      <c r="I399" s="47">
        <v>14604.0</v>
      </c>
      <c r="J399" s="46">
        <v>5.0</v>
      </c>
      <c r="K399" s="47">
        <v>730.0</v>
      </c>
      <c r="L399" s="47">
        <v>13874.0</v>
      </c>
      <c r="M399" s="46" t="s">
        <v>55</v>
      </c>
      <c r="N399" s="46" t="s">
        <v>43</v>
      </c>
      <c r="O399" s="46" t="s">
        <v>69</v>
      </c>
      <c r="P399" s="43"/>
      <c r="Q399" s="43"/>
      <c r="R399" s="43"/>
      <c r="S399" s="43"/>
      <c r="T399" s="43"/>
      <c r="U399" s="43"/>
      <c r="V399" s="43"/>
      <c r="W399" s="43"/>
      <c r="X399" s="43"/>
      <c r="Y399" s="43"/>
      <c r="Z399" s="43"/>
    </row>
    <row r="400" ht="14.25" customHeight="1">
      <c r="A400" s="48">
        <v>20361.0</v>
      </c>
      <c r="B400" s="44">
        <v>46000.0</v>
      </c>
      <c r="C400" s="48" t="s">
        <v>45</v>
      </c>
      <c r="D400" s="48" t="s">
        <v>46</v>
      </c>
      <c r="E400" s="48" t="s">
        <v>59</v>
      </c>
      <c r="F400" s="48" t="s">
        <v>60</v>
      </c>
      <c r="G400" s="48">
        <v>15.0</v>
      </c>
      <c r="H400" s="49">
        <v>224.0</v>
      </c>
      <c r="I400" s="49">
        <v>3360.0</v>
      </c>
      <c r="J400" s="48">
        <v>20.0</v>
      </c>
      <c r="K400" s="49">
        <v>672.0</v>
      </c>
      <c r="L400" s="49">
        <v>2688.0</v>
      </c>
      <c r="M400" s="48" t="s">
        <v>71</v>
      </c>
      <c r="N400" s="48" t="s">
        <v>43</v>
      </c>
      <c r="O400" s="48" t="s">
        <v>44</v>
      </c>
      <c r="P400" s="43"/>
      <c r="Q400" s="43"/>
      <c r="R400" s="43"/>
      <c r="S400" s="43"/>
      <c r="T400" s="43"/>
      <c r="U400" s="43"/>
      <c r="V400" s="43"/>
      <c r="W400" s="43"/>
      <c r="X400" s="43"/>
      <c r="Y400" s="43"/>
      <c r="Z400" s="43"/>
    </row>
    <row r="401" ht="14.25" customHeight="1">
      <c r="A401" s="48">
        <v>20333.0</v>
      </c>
      <c r="B401" s="44">
        <v>46001.0</v>
      </c>
      <c r="C401" s="48" t="s">
        <v>92</v>
      </c>
      <c r="D401" s="48" t="s">
        <v>25</v>
      </c>
      <c r="E401" s="48" t="s">
        <v>26</v>
      </c>
      <c r="F401" s="48" t="s">
        <v>70</v>
      </c>
      <c r="G401" s="48">
        <v>11.0</v>
      </c>
      <c r="H401" s="49">
        <v>625.0</v>
      </c>
      <c r="I401" s="49">
        <v>6875.0</v>
      </c>
      <c r="J401" s="48">
        <v>15.0</v>
      </c>
      <c r="K401" s="49">
        <v>1031.0</v>
      </c>
      <c r="L401" s="49">
        <v>5844.0</v>
      </c>
      <c r="M401" s="48" t="s">
        <v>71</v>
      </c>
      <c r="N401" s="48" t="s">
        <v>72</v>
      </c>
      <c r="O401" s="48" t="s">
        <v>57</v>
      </c>
      <c r="P401" s="43"/>
      <c r="Q401" s="43"/>
      <c r="R401" s="43"/>
      <c r="S401" s="43"/>
      <c r="T401" s="43"/>
      <c r="U401" s="43"/>
      <c r="V401" s="43"/>
      <c r="W401" s="43"/>
      <c r="X401" s="43"/>
      <c r="Y401" s="43"/>
      <c r="Z401" s="43"/>
    </row>
    <row r="402" ht="14.25" customHeight="1">
      <c r="A402" s="48">
        <v>20353.0</v>
      </c>
      <c r="B402" s="44">
        <v>46001.0</v>
      </c>
      <c r="C402" s="48" t="s">
        <v>93</v>
      </c>
      <c r="D402" s="48" t="s">
        <v>25</v>
      </c>
      <c r="E402" s="48" t="s">
        <v>77</v>
      </c>
      <c r="F402" s="48" t="s">
        <v>101</v>
      </c>
      <c r="G402" s="48">
        <v>13.0</v>
      </c>
      <c r="H402" s="49">
        <v>3247.0</v>
      </c>
      <c r="I402" s="49">
        <v>42211.0</v>
      </c>
      <c r="J402" s="48">
        <v>20.0</v>
      </c>
      <c r="K402" s="49">
        <v>8442.0</v>
      </c>
      <c r="L402" s="49">
        <v>33769.0</v>
      </c>
      <c r="M402" s="48" t="s">
        <v>81</v>
      </c>
      <c r="N402" s="48" t="s">
        <v>72</v>
      </c>
      <c r="O402" s="48" t="s">
        <v>69</v>
      </c>
      <c r="P402" s="43"/>
      <c r="Q402" s="43"/>
      <c r="R402" s="43"/>
      <c r="S402" s="43"/>
      <c r="T402" s="43"/>
      <c r="U402" s="43"/>
      <c r="V402" s="43"/>
      <c r="W402" s="43"/>
      <c r="X402" s="43"/>
      <c r="Y402" s="43"/>
      <c r="Z402" s="43"/>
    </row>
    <row r="403" ht="14.25" customHeight="1">
      <c r="A403" s="48">
        <v>20095.0</v>
      </c>
      <c r="B403" s="44">
        <v>46003.0</v>
      </c>
      <c r="C403" s="48" t="s">
        <v>63</v>
      </c>
      <c r="D403" s="48" t="s">
        <v>64</v>
      </c>
      <c r="E403" s="48" t="s">
        <v>59</v>
      </c>
      <c r="F403" s="48" t="s">
        <v>79</v>
      </c>
      <c r="G403" s="48">
        <v>10.0</v>
      </c>
      <c r="H403" s="49">
        <v>173.0</v>
      </c>
      <c r="I403" s="49">
        <v>1730.0</v>
      </c>
      <c r="J403" s="48">
        <v>15.0</v>
      </c>
      <c r="K403" s="49">
        <v>260.0</v>
      </c>
      <c r="L403" s="49">
        <v>1470.0</v>
      </c>
      <c r="M403" s="48" t="s">
        <v>42</v>
      </c>
      <c r="N403" s="48" t="s">
        <v>72</v>
      </c>
      <c r="O403" s="48" t="s">
        <v>57</v>
      </c>
      <c r="P403" s="43"/>
      <c r="Q403" s="43"/>
      <c r="R403" s="43"/>
      <c r="S403" s="43"/>
      <c r="T403" s="43"/>
      <c r="U403" s="43"/>
      <c r="V403" s="43"/>
      <c r="W403" s="43"/>
      <c r="X403" s="43"/>
      <c r="Y403" s="43"/>
      <c r="Z403" s="43"/>
    </row>
    <row r="404" ht="14.25" customHeight="1">
      <c r="A404" s="48">
        <v>20407.0</v>
      </c>
      <c r="B404" s="44">
        <v>46004.0</v>
      </c>
      <c r="C404" s="48" t="s">
        <v>82</v>
      </c>
      <c r="D404" s="48" t="s">
        <v>52</v>
      </c>
      <c r="E404" s="48" t="s">
        <v>47</v>
      </c>
      <c r="F404" s="48" t="s">
        <v>91</v>
      </c>
      <c r="G404" s="48">
        <v>13.0</v>
      </c>
      <c r="H404" s="49">
        <v>1490.0</v>
      </c>
      <c r="I404" s="49">
        <v>19370.0</v>
      </c>
      <c r="J404" s="48">
        <v>5.0</v>
      </c>
      <c r="K404" s="49">
        <v>968.0</v>
      </c>
      <c r="L404" s="49">
        <v>18402.0</v>
      </c>
      <c r="M404" s="48" t="s">
        <v>49</v>
      </c>
      <c r="N404" s="48" t="s">
        <v>72</v>
      </c>
      <c r="O404" s="48" t="s">
        <v>44</v>
      </c>
      <c r="P404" s="43"/>
      <c r="Q404" s="43"/>
      <c r="R404" s="43"/>
      <c r="S404" s="43"/>
      <c r="T404" s="43"/>
      <c r="U404" s="43"/>
      <c r="V404" s="43"/>
      <c r="W404" s="43"/>
      <c r="X404" s="43"/>
      <c r="Y404" s="43"/>
      <c r="Z404" s="43"/>
    </row>
    <row r="405" ht="14.25" customHeight="1">
      <c r="A405" s="48">
        <v>20127.0</v>
      </c>
      <c r="B405" s="44">
        <v>46005.0</v>
      </c>
      <c r="C405" s="48" t="s">
        <v>51</v>
      </c>
      <c r="D405" s="48" t="s">
        <v>52</v>
      </c>
      <c r="E405" s="48" t="s">
        <v>53</v>
      </c>
      <c r="F405" s="48" t="s">
        <v>95</v>
      </c>
      <c r="G405" s="48">
        <v>12.0</v>
      </c>
      <c r="H405" s="49">
        <v>465.0</v>
      </c>
      <c r="I405" s="49">
        <v>5580.0</v>
      </c>
      <c r="J405" s="48">
        <v>0.0</v>
      </c>
      <c r="K405" s="49">
        <v>0.0</v>
      </c>
      <c r="L405" s="49">
        <v>5580.0</v>
      </c>
      <c r="M405" s="48" t="s">
        <v>96</v>
      </c>
      <c r="N405" s="48" t="s">
        <v>43</v>
      </c>
      <c r="O405" s="48" t="s">
        <v>69</v>
      </c>
      <c r="P405" s="43"/>
      <c r="Q405" s="43"/>
      <c r="R405" s="43"/>
      <c r="S405" s="43"/>
      <c r="T405" s="43"/>
      <c r="U405" s="43"/>
      <c r="V405" s="43"/>
      <c r="W405" s="43"/>
      <c r="X405" s="43"/>
      <c r="Y405" s="43"/>
      <c r="Z405" s="43"/>
    </row>
    <row r="406" ht="14.25" customHeight="1">
      <c r="A406" s="46">
        <v>20132.0</v>
      </c>
      <c r="B406" s="44">
        <v>46005.0</v>
      </c>
      <c r="C406" s="46" t="s">
        <v>73</v>
      </c>
      <c r="D406" s="46" t="s">
        <v>52</v>
      </c>
      <c r="E406" s="46" t="s">
        <v>59</v>
      </c>
      <c r="F406" s="46" t="s">
        <v>85</v>
      </c>
      <c r="G406" s="46">
        <v>13.0</v>
      </c>
      <c r="H406" s="47">
        <v>274.0</v>
      </c>
      <c r="I406" s="47">
        <v>3562.0</v>
      </c>
      <c r="J406" s="46">
        <v>20.0</v>
      </c>
      <c r="K406" s="47">
        <v>712.0</v>
      </c>
      <c r="L406" s="47">
        <v>2850.0</v>
      </c>
      <c r="M406" s="46" t="s">
        <v>106</v>
      </c>
      <c r="N406" s="46" t="s">
        <v>56</v>
      </c>
      <c r="O406" s="46" t="s">
        <v>69</v>
      </c>
      <c r="P406" s="43"/>
      <c r="Q406" s="43"/>
      <c r="R406" s="43"/>
      <c r="S406" s="43"/>
      <c r="T406" s="43"/>
      <c r="U406" s="43"/>
      <c r="V406" s="43"/>
      <c r="W406" s="43"/>
      <c r="X406" s="43"/>
      <c r="Y406" s="43"/>
      <c r="Z406" s="43"/>
    </row>
    <row r="407" ht="14.25" customHeight="1">
      <c r="A407" s="46">
        <v>20228.0</v>
      </c>
      <c r="B407" s="44">
        <v>46005.0</v>
      </c>
      <c r="C407" s="46" t="s">
        <v>76</v>
      </c>
      <c r="D407" s="46" t="s">
        <v>64</v>
      </c>
      <c r="E407" s="46" t="s">
        <v>53</v>
      </c>
      <c r="F407" s="46" t="s">
        <v>102</v>
      </c>
      <c r="G407" s="46">
        <v>8.0</v>
      </c>
      <c r="H407" s="47">
        <v>1150.0</v>
      </c>
      <c r="I407" s="47">
        <v>9200.0</v>
      </c>
      <c r="J407" s="46">
        <v>20.0</v>
      </c>
      <c r="K407" s="47">
        <v>1840.0</v>
      </c>
      <c r="L407" s="47">
        <v>7360.0</v>
      </c>
      <c r="M407" s="46" t="s">
        <v>68</v>
      </c>
      <c r="N407" s="46" t="s">
        <v>72</v>
      </c>
      <c r="O407" s="46" t="s">
        <v>44</v>
      </c>
      <c r="P407" s="43"/>
      <c r="Q407" s="43"/>
      <c r="R407" s="43"/>
      <c r="S407" s="43"/>
      <c r="T407" s="43"/>
      <c r="U407" s="43"/>
      <c r="V407" s="43"/>
      <c r="W407" s="43"/>
      <c r="X407" s="43"/>
      <c r="Y407" s="43"/>
      <c r="Z407" s="43"/>
    </row>
    <row r="408" ht="14.25" customHeight="1">
      <c r="A408" s="46">
        <v>20032.0</v>
      </c>
      <c r="B408" s="44">
        <v>46007.0</v>
      </c>
      <c r="C408" s="46" t="s">
        <v>63</v>
      </c>
      <c r="D408" s="46" t="s">
        <v>64</v>
      </c>
      <c r="E408" s="46" t="s">
        <v>26</v>
      </c>
      <c r="F408" s="46" t="s">
        <v>74</v>
      </c>
      <c r="G408" s="46">
        <v>13.0</v>
      </c>
      <c r="H408" s="47">
        <v>536.0</v>
      </c>
      <c r="I408" s="47">
        <v>6968.0</v>
      </c>
      <c r="J408" s="46">
        <v>20.0</v>
      </c>
      <c r="K408" s="47">
        <v>1394.0</v>
      </c>
      <c r="L408" s="47">
        <v>5574.0</v>
      </c>
      <c r="M408" s="46" t="s">
        <v>68</v>
      </c>
      <c r="N408" s="46" t="s">
        <v>50</v>
      </c>
      <c r="O408" s="46" t="s">
        <v>44</v>
      </c>
      <c r="P408" s="43"/>
      <c r="Q408" s="43"/>
      <c r="R408" s="43"/>
      <c r="S408" s="43"/>
      <c r="T408" s="43"/>
      <c r="U408" s="43"/>
      <c r="V408" s="43"/>
      <c r="W408" s="43"/>
      <c r="X408" s="43"/>
      <c r="Y408" s="43"/>
      <c r="Z408" s="43"/>
    </row>
    <row r="409" ht="14.25" customHeight="1">
      <c r="A409" s="48">
        <v>20159.0</v>
      </c>
      <c r="B409" s="44">
        <v>46008.0</v>
      </c>
      <c r="C409" s="48" t="s">
        <v>51</v>
      </c>
      <c r="D409" s="48" t="s">
        <v>52</v>
      </c>
      <c r="E409" s="48" t="s">
        <v>53</v>
      </c>
      <c r="F409" s="48" t="s">
        <v>48</v>
      </c>
      <c r="G409" s="48">
        <v>2.0</v>
      </c>
      <c r="H409" s="49">
        <v>1199.0</v>
      </c>
      <c r="I409" s="49">
        <v>2398.0</v>
      </c>
      <c r="J409" s="48">
        <v>5.0</v>
      </c>
      <c r="K409" s="49">
        <v>120.0</v>
      </c>
      <c r="L409" s="49">
        <v>2278.0</v>
      </c>
      <c r="M409" s="48" t="s">
        <v>106</v>
      </c>
      <c r="N409" s="48" t="s">
        <v>72</v>
      </c>
      <c r="O409" s="48" t="s">
        <v>57</v>
      </c>
      <c r="P409" s="43"/>
      <c r="Q409" s="43"/>
      <c r="R409" s="43"/>
      <c r="S409" s="43"/>
      <c r="T409" s="43"/>
      <c r="U409" s="43"/>
      <c r="V409" s="43"/>
      <c r="W409" s="43"/>
      <c r="X409" s="43"/>
      <c r="Y409" s="43"/>
      <c r="Z409" s="43"/>
    </row>
    <row r="410" ht="14.25" customHeight="1">
      <c r="A410" s="48">
        <v>20219.0</v>
      </c>
      <c r="B410" s="44">
        <v>46008.0</v>
      </c>
      <c r="C410" s="48" t="s">
        <v>51</v>
      </c>
      <c r="D410" s="48" t="s">
        <v>52</v>
      </c>
      <c r="E410" s="48" t="s">
        <v>77</v>
      </c>
      <c r="F410" s="48" t="s">
        <v>78</v>
      </c>
      <c r="G410" s="48">
        <v>5.0</v>
      </c>
      <c r="H410" s="49">
        <v>3098.0</v>
      </c>
      <c r="I410" s="49">
        <v>15490.0</v>
      </c>
      <c r="J410" s="48">
        <v>0.0</v>
      </c>
      <c r="K410" s="49">
        <v>0.0</v>
      </c>
      <c r="L410" s="49">
        <v>15490.0</v>
      </c>
      <c r="M410" s="48" t="s">
        <v>61</v>
      </c>
      <c r="N410" s="48" t="s">
        <v>72</v>
      </c>
      <c r="O410" s="48" t="s">
        <v>44</v>
      </c>
      <c r="P410" s="43"/>
      <c r="Q410" s="43"/>
      <c r="R410" s="43"/>
      <c r="S410" s="43"/>
      <c r="T410" s="43"/>
      <c r="U410" s="43"/>
      <c r="V410" s="43"/>
      <c r="W410" s="43"/>
      <c r="X410" s="43"/>
      <c r="Y410" s="43"/>
      <c r="Z410" s="43"/>
    </row>
    <row r="411" ht="14.25" customHeight="1">
      <c r="A411" s="48">
        <v>20327.0</v>
      </c>
      <c r="B411" s="44">
        <v>46009.0</v>
      </c>
      <c r="C411" s="48" t="s">
        <v>76</v>
      </c>
      <c r="D411" s="48" t="s">
        <v>64</v>
      </c>
      <c r="E411" s="48" t="s">
        <v>53</v>
      </c>
      <c r="F411" s="48" t="s">
        <v>48</v>
      </c>
      <c r="G411" s="48">
        <v>6.0</v>
      </c>
      <c r="H411" s="49">
        <v>1125.0</v>
      </c>
      <c r="I411" s="49">
        <v>6750.0</v>
      </c>
      <c r="J411" s="48">
        <v>0.0</v>
      </c>
      <c r="K411" s="49">
        <v>0.0</v>
      </c>
      <c r="L411" s="49">
        <v>6750.0</v>
      </c>
      <c r="M411" s="48" t="s">
        <v>68</v>
      </c>
      <c r="N411" s="48" t="s">
        <v>50</v>
      </c>
      <c r="O411" s="48" t="s">
        <v>57</v>
      </c>
      <c r="P411" s="43"/>
      <c r="Q411" s="43"/>
      <c r="R411" s="43"/>
      <c r="S411" s="43"/>
      <c r="T411" s="43"/>
      <c r="U411" s="43"/>
      <c r="V411" s="43"/>
      <c r="W411" s="43"/>
      <c r="X411" s="43"/>
      <c r="Y411" s="43"/>
      <c r="Z411" s="43"/>
    </row>
    <row r="412" ht="14.25" customHeight="1">
      <c r="A412" s="48">
        <v>20055.0</v>
      </c>
      <c r="B412" s="44">
        <v>46011.0</v>
      </c>
      <c r="C412" s="48" t="s">
        <v>63</v>
      </c>
      <c r="D412" s="48" t="s">
        <v>64</v>
      </c>
      <c r="E412" s="48" t="s">
        <v>26</v>
      </c>
      <c r="F412" s="48" t="s">
        <v>94</v>
      </c>
      <c r="G412" s="48">
        <v>13.0</v>
      </c>
      <c r="H412" s="49">
        <v>428.0</v>
      </c>
      <c r="I412" s="49">
        <v>5564.0</v>
      </c>
      <c r="J412" s="48">
        <v>20.0</v>
      </c>
      <c r="K412" s="49">
        <v>1113.0</v>
      </c>
      <c r="L412" s="49">
        <v>4451.0</v>
      </c>
      <c r="M412" s="48" t="s">
        <v>49</v>
      </c>
      <c r="N412" s="48" t="s">
        <v>62</v>
      </c>
      <c r="O412" s="48" t="s">
        <v>44</v>
      </c>
      <c r="P412" s="43"/>
      <c r="Q412" s="43"/>
      <c r="R412" s="43"/>
      <c r="S412" s="43"/>
      <c r="T412" s="43"/>
      <c r="U412" s="43"/>
      <c r="V412" s="43"/>
      <c r="W412" s="43"/>
      <c r="X412" s="43"/>
      <c r="Y412" s="43"/>
      <c r="Z412" s="43"/>
    </row>
    <row r="413" ht="14.25" customHeight="1">
      <c r="A413" s="46">
        <v>20084.0</v>
      </c>
      <c r="B413" s="44">
        <v>46012.0</v>
      </c>
      <c r="C413" s="46" t="s">
        <v>51</v>
      </c>
      <c r="D413" s="46" t="s">
        <v>52</v>
      </c>
      <c r="E413" s="46" t="s">
        <v>26</v>
      </c>
      <c r="F413" s="46" t="s">
        <v>74</v>
      </c>
      <c r="G413" s="46">
        <v>14.0</v>
      </c>
      <c r="H413" s="47">
        <v>509.0</v>
      </c>
      <c r="I413" s="47">
        <v>7126.0</v>
      </c>
      <c r="J413" s="46">
        <v>20.0</v>
      </c>
      <c r="K413" s="47">
        <v>1425.0</v>
      </c>
      <c r="L413" s="47">
        <v>5701.0</v>
      </c>
      <c r="M413" s="46" t="s">
        <v>87</v>
      </c>
      <c r="N413" s="46" t="s">
        <v>62</v>
      </c>
      <c r="O413" s="46" t="s">
        <v>57</v>
      </c>
      <c r="P413" s="43"/>
      <c r="Q413" s="43"/>
      <c r="R413" s="43"/>
      <c r="S413" s="43"/>
      <c r="T413" s="43"/>
      <c r="U413" s="43"/>
      <c r="V413" s="43"/>
      <c r="W413" s="43"/>
      <c r="X413" s="43"/>
      <c r="Y413" s="43"/>
      <c r="Z413" s="43"/>
    </row>
    <row r="414" ht="14.25" customHeight="1">
      <c r="A414" s="48">
        <v>20251.0</v>
      </c>
      <c r="B414" s="44">
        <v>46014.0</v>
      </c>
      <c r="C414" s="48" t="s">
        <v>84</v>
      </c>
      <c r="D414" s="48" t="s">
        <v>46</v>
      </c>
      <c r="E414" s="48" t="s">
        <v>26</v>
      </c>
      <c r="F414" s="48" t="s">
        <v>111</v>
      </c>
      <c r="G414" s="48">
        <v>12.0</v>
      </c>
      <c r="H414" s="49">
        <v>255.0</v>
      </c>
      <c r="I414" s="49">
        <v>3060.0</v>
      </c>
      <c r="J414" s="48">
        <v>0.0</v>
      </c>
      <c r="K414" s="49">
        <v>0.0</v>
      </c>
      <c r="L414" s="49">
        <v>3060.0</v>
      </c>
      <c r="M414" s="48" t="s">
        <v>71</v>
      </c>
      <c r="N414" s="48" t="s">
        <v>62</v>
      </c>
      <c r="O414" s="48" t="s">
        <v>44</v>
      </c>
      <c r="P414" s="43"/>
      <c r="Q414" s="43"/>
      <c r="R414" s="43"/>
      <c r="S414" s="43"/>
      <c r="T414" s="43"/>
      <c r="U414" s="43"/>
      <c r="V414" s="43"/>
      <c r="W414" s="43"/>
      <c r="X414" s="43"/>
      <c r="Y414" s="43"/>
      <c r="Z414" s="43"/>
    </row>
    <row r="415" ht="14.25" customHeight="1">
      <c r="A415" s="48">
        <v>20077.0</v>
      </c>
      <c r="B415" s="44">
        <v>46015.0</v>
      </c>
      <c r="C415" s="48" t="s">
        <v>82</v>
      </c>
      <c r="D415" s="48" t="s">
        <v>52</v>
      </c>
      <c r="E415" s="48" t="s">
        <v>26</v>
      </c>
      <c r="F415" s="48" t="s">
        <v>104</v>
      </c>
      <c r="G415" s="48">
        <v>11.0</v>
      </c>
      <c r="H415" s="49">
        <v>365.0</v>
      </c>
      <c r="I415" s="49">
        <v>4015.0</v>
      </c>
      <c r="J415" s="48">
        <v>0.0</v>
      </c>
      <c r="K415" s="49">
        <v>0.0</v>
      </c>
      <c r="L415" s="49">
        <v>4015.0</v>
      </c>
      <c r="M415" s="48" t="s">
        <v>87</v>
      </c>
      <c r="N415" s="48" t="s">
        <v>43</v>
      </c>
      <c r="O415" s="48" t="s">
        <v>69</v>
      </c>
      <c r="P415" s="43"/>
      <c r="Q415" s="43"/>
      <c r="R415" s="43"/>
      <c r="S415" s="43"/>
      <c r="T415" s="43"/>
      <c r="U415" s="43"/>
      <c r="V415" s="43"/>
      <c r="W415" s="43"/>
      <c r="X415" s="43"/>
      <c r="Y415" s="43"/>
      <c r="Z415" s="43"/>
    </row>
    <row r="416" ht="14.25" customHeight="1">
      <c r="A416" s="48">
        <v>20171.0</v>
      </c>
      <c r="B416" s="44">
        <v>46016.0</v>
      </c>
      <c r="C416" s="48" t="s">
        <v>58</v>
      </c>
      <c r="D416" s="48" t="s">
        <v>25</v>
      </c>
      <c r="E416" s="48" t="s">
        <v>77</v>
      </c>
      <c r="F416" s="48" t="s">
        <v>90</v>
      </c>
      <c r="G416" s="48">
        <v>8.0</v>
      </c>
      <c r="H416" s="49">
        <v>4330.0</v>
      </c>
      <c r="I416" s="49">
        <v>34640.0</v>
      </c>
      <c r="J416" s="48">
        <v>5.0</v>
      </c>
      <c r="K416" s="49">
        <v>1732.0</v>
      </c>
      <c r="L416" s="49">
        <v>32908.0</v>
      </c>
      <c r="M416" s="48" t="s">
        <v>87</v>
      </c>
      <c r="N416" s="48" t="s">
        <v>56</v>
      </c>
      <c r="O416" s="48" t="s">
        <v>44</v>
      </c>
      <c r="P416" s="43"/>
      <c r="Q416" s="43"/>
      <c r="R416" s="43"/>
      <c r="S416" s="43"/>
      <c r="T416" s="43"/>
      <c r="U416" s="43"/>
      <c r="V416" s="43"/>
      <c r="W416" s="43"/>
      <c r="X416" s="43"/>
      <c r="Y416" s="43"/>
      <c r="Z416" s="43"/>
    </row>
    <row r="417" ht="14.25" customHeight="1">
      <c r="A417" s="46">
        <v>20062.0</v>
      </c>
      <c r="B417" s="44">
        <v>46017.0</v>
      </c>
      <c r="C417" s="46" t="s">
        <v>73</v>
      </c>
      <c r="D417" s="46" t="s">
        <v>52</v>
      </c>
      <c r="E417" s="46" t="s">
        <v>53</v>
      </c>
      <c r="F417" s="46" t="s">
        <v>95</v>
      </c>
      <c r="G417" s="46">
        <v>5.0</v>
      </c>
      <c r="H417" s="47">
        <v>1776.0</v>
      </c>
      <c r="I417" s="47">
        <v>8880.0</v>
      </c>
      <c r="J417" s="46">
        <v>0.0</v>
      </c>
      <c r="K417" s="47">
        <v>0.0</v>
      </c>
      <c r="L417" s="47">
        <v>8880.0</v>
      </c>
      <c r="M417" s="46" t="s">
        <v>87</v>
      </c>
      <c r="N417" s="46" t="s">
        <v>50</v>
      </c>
      <c r="O417" s="46" t="s">
        <v>69</v>
      </c>
      <c r="P417" s="43"/>
      <c r="Q417" s="43"/>
      <c r="R417" s="43"/>
      <c r="S417" s="43"/>
      <c r="T417" s="43"/>
      <c r="U417" s="43"/>
      <c r="V417" s="43"/>
      <c r="W417" s="43"/>
      <c r="X417" s="43"/>
      <c r="Y417" s="43"/>
      <c r="Z417" s="43"/>
    </row>
    <row r="418" ht="14.25" customHeight="1">
      <c r="A418" s="48">
        <v>20243.0</v>
      </c>
      <c r="B418" s="44">
        <v>46018.0</v>
      </c>
      <c r="C418" s="48" t="s">
        <v>89</v>
      </c>
      <c r="D418" s="48" t="s">
        <v>46</v>
      </c>
      <c r="E418" s="48" t="s">
        <v>53</v>
      </c>
      <c r="F418" s="48" t="s">
        <v>54</v>
      </c>
      <c r="G418" s="48">
        <v>5.0</v>
      </c>
      <c r="H418" s="49">
        <v>1690.0</v>
      </c>
      <c r="I418" s="49">
        <v>8450.0</v>
      </c>
      <c r="J418" s="48">
        <v>20.0</v>
      </c>
      <c r="K418" s="49">
        <v>1690.0</v>
      </c>
      <c r="L418" s="49">
        <v>6760.0</v>
      </c>
      <c r="M418" s="48" t="s">
        <v>61</v>
      </c>
      <c r="N418" s="48" t="s">
        <v>62</v>
      </c>
      <c r="O418" s="48" t="s">
        <v>44</v>
      </c>
      <c r="P418" s="43"/>
      <c r="Q418" s="43"/>
      <c r="R418" s="43"/>
      <c r="S418" s="43"/>
      <c r="T418" s="43"/>
      <c r="U418" s="43"/>
      <c r="V418" s="43"/>
      <c r="W418" s="43"/>
      <c r="X418" s="43"/>
      <c r="Y418" s="43"/>
      <c r="Z418" s="43"/>
    </row>
    <row r="419" ht="14.25" customHeight="1">
      <c r="A419" s="46">
        <v>20400.0</v>
      </c>
      <c r="B419" s="44">
        <v>46018.0</v>
      </c>
      <c r="C419" s="46" t="s">
        <v>92</v>
      </c>
      <c r="D419" s="46" t="s">
        <v>25</v>
      </c>
      <c r="E419" s="46" t="s">
        <v>26</v>
      </c>
      <c r="F419" s="46" t="s">
        <v>70</v>
      </c>
      <c r="G419" s="46">
        <v>5.0</v>
      </c>
      <c r="H419" s="47">
        <v>476.0</v>
      </c>
      <c r="I419" s="47">
        <v>2380.0</v>
      </c>
      <c r="J419" s="46">
        <v>5.0</v>
      </c>
      <c r="K419" s="47">
        <v>119.0</v>
      </c>
      <c r="L419" s="47">
        <v>2261.0</v>
      </c>
      <c r="M419" s="46" t="s">
        <v>61</v>
      </c>
      <c r="N419" s="46" t="s">
        <v>56</v>
      </c>
      <c r="O419" s="46" t="s">
        <v>69</v>
      </c>
      <c r="P419" s="43"/>
      <c r="Q419" s="43"/>
      <c r="R419" s="43"/>
      <c r="S419" s="43"/>
      <c r="T419" s="43"/>
      <c r="U419" s="43"/>
      <c r="V419" s="43"/>
      <c r="W419" s="43"/>
      <c r="X419" s="43"/>
      <c r="Y419" s="43"/>
      <c r="Z419" s="43"/>
    </row>
    <row r="420" ht="14.25" customHeight="1">
      <c r="A420" s="46">
        <v>20064.0</v>
      </c>
      <c r="B420" s="44">
        <v>46020.0</v>
      </c>
      <c r="C420" s="46" t="s">
        <v>76</v>
      </c>
      <c r="D420" s="46" t="s">
        <v>64</v>
      </c>
      <c r="E420" s="46" t="s">
        <v>53</v>
      </c>
      <c r="F420" s="46" t="s">
        <v>102</v>
      </c>
      <c r="G420" s="46">
        <v>1.0</v>
      </c>
      <c r="H420" s="47">
        <v>557.0</v>
      </c>
      <c r="I420" s="47">
        <v>557.0</v>
      </c>
      <c r="J420" s="46">
        <v>0.0</v>
      </c>
      <c r="K420" s="47">
        <v>0.0</v>
      </c>
      <c r="L420" s="47">
        <v>557.0</v>
      </c>
      <c r="M420" s="46" t="s">
        <v>81</v>
      </c>
      <c r="N420" s="46" t="s">
        <v>56</v>
      </c>
      <c r="O420" s="46" t="s">
        <v>44</v>
      </c>
      <c r="P420" s="43"/>
      <c r="Q420" s="43"/>
      <c r="R420" s="43"/>
      <c r="S420" s="43"/>
      <c r="T420" s="43"/>
      <c r="U420" s="43"/>
      <c r="V420" s="43"/>
      <c r="W420" s="43"/>
      <c r="X420" s="43"/>
      <c r="Y420" s="43"/>
      <c r="Z420" s="43"/>
    </row>
    <row r="421" ht="14.25" customHeight="1">
      <c r="A421" s="46">
        <v>20230.0</v>
      </c>
      <c r="B421" s="44">
        <v>46021.0</v>
      </c>
      <c r="C421" s="46" t="s">
        <v>58</v>
      </c>
      <c r="D421" s="46" t="s">
        <v>25</v>
      </c>
      <c r="E421" s="46" t="s">
        <v>26</v>
      </c>
      <c r="F421" s="46" t="s">
        <v>74</v>
      </c>
      <c r="G421" s="46">
        <v>11.0</v>
      </c>
      <c r="H421" s="47">
        <v>231.0</v>
      </c>
      <c r="I421" s="47">
        <v>2541.0</v>
      </c>
      <c r="J421" s="46">
        <v>10.0</v>
      </c>
      <c r="K421" s="47">
        <v>254.0</v>
      </c>
      <c r="L421" s="47">
        <v>2287.0</v>
      </c>
      <c r="M421" s="46" t="s">
        <v>68</v>
      </c>
      <c r="N421" s="46" t="s">
        <v>56</v>
      </c>
      <c r="O421" s="46" t="s">
        <v>69</v>
      </c>
      <c r="P421" s="43"/>
      <c r="Q421" s="43"/>
      <c r="R421" s="43"/>
      <c r="S421" s="43"/>
      <c r="T421" s="43"/>
      <c r="U421" s="43"/>
      <c r="V421" s="43"/>
      <c r="W421" s="43"/>
      <c r="X421" s="43"/>
      <c r="Y421" s="43"/>
      <c r="Z421" s="43"/>
    </row>
    <row r="422" ht="14.25"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ht="14.25" customHeight="1">
      <c r="A423" s="43"/>
      <c r="B423" s="43"/>
      <c r="C423" s="43"/>
      <c r="D423" s="43"/>
      <c r="E423" s="43"/>
      <c r="F423" s="43"/>
      <c r="G423" s="43"/>
      <c r="H423" s="43"/>
      <c r="I423" s="43" t="str">
        <f>uni</f>
        <v>#NAME?</v>
      </c>
      <c r="J423" s="43"/>
      <c r="K423" s="43"/>
      <c r="L423" s="43"/>
      <c r="M423" s="43"/>
      <c r="N423" s="43"/>
      <c r="O423" s="43"/>
      <c r="P423" s="43"/>
      <c r="Q423" s="43"/>
      <c r="R423" s="43"/>
      <c r="S423" s="43"/>
      <c r="T423" s="43"/>
      <c r="U423" s="43"/>
      <c r="V423" s="43"/>
      <c r="W423" s="43"/>
      <c r="X423" s="43"/>
      <c r="Y423" s="43"/>
      <c r="Z423" s="43"/>
    </row>
    <row r="424" ht="14.25"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ht="14.25"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ht="14.25"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ht="14.25"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ht="14.25"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ht="14.25"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ht="14.25"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ht="14.25"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ht="14.25"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ht="14.25"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ht="14.25"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ht="14.25"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ht="14.25"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ht="14.25"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ht="14.25"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ht="14.25"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ht="14.25"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ht="14.25"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ht="14.25"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ht="14.25"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ht="14.25"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ht="14.25"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ht="14.25"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ht="14.25"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ht="14.25"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ht="14.25"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ht="14.25"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ht="14.25"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ht="14.25"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ht="14.25"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ht="14.25"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ht="14.25"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ht="14.25"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ht="14.25"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ht="14.25"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ht="14.25"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ht="14.25"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ht="14.25"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ht="14.25"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ht="14.25"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ht="14.25"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ht="14.25"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ht="14.25"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ht="14.25"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ht="14.25"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ht="14.25"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ht="14.25"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ht="14.25"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ht="14.25"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ht="14.25"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ht="14.25"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ht="14.25"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ht="14.25"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ht="14.25"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ht="14.25"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ht="14.25"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ht="14.25"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ht="14.25"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ht="14.25"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ht="14.25"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ht="14.25"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ht="14.25"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ht="14.25"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ht="14.25"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ht="14.25"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ht="14.25"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ht="14.25"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ht="14.25"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ht="14.25"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ht="14.25"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ht="14.25"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ht="14.25"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ht="14.25"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ht="14.25"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ht="14.25"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ht="14.25"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ht="14.25"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ht="14.25"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ht="14.25"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ht="14.25"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ht="14.25"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ht="14.25"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ht="14.25"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ht="14.25"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ht="14.25"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ht="14.25"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ht="14.25"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ht="14.25"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ht="14.25"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ht="14.25"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ht="14.25"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ht="14.25"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ht="14.25"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ht="14.25"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ht="14.25"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ht="14.25"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ht="14.25"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ht="14.25"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ht="14.25"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ht="14.25"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ht="14.25"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ht="14.25"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ht="14.25"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ht="14.25"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ht="14.25"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ht="14.25"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ht="14.25"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ht="14.25"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ht="14.25"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ht="14.25"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ht="14.25"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ht="14.25"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ht="14.25"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ht="14.25"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ht="14.25"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ht="14.25"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ht="14.25"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ht="14.25"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ht="14.25"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ht="14.25"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ht="14.25"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ht="14.25"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ht="14.25"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ht="14.25"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ht="14.25"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ht="14.25"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ht="14.25"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ht="14.25"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ht="14.25"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ht="14.25"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ht="14.25"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ht="14.25"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ht="14.25"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ht="14.25"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ht="14.25"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ht="14.25"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ht="14.25"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ht="14.25"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ht="14.25"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ht="14.25"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ht="14.25"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ht="14.25"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ht="14.25"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ht="14.25"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ht="14.25"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ht="14.25"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ht="14.25"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ht="14.25"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ht="14.25"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ht="14.25"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ht="14.25"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ht="14.25"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ht="14.25"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ht="14.25"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ht="14.25"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ht="14.25"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ht="14.25"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ht="14.25"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ht="14.25"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ht="14.25"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ht="14.25"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ht="14.25"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ht="14.25"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ht="14.25"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ht="14.25"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ht="14.25"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ht="14.25"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ht="14.25"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ht="14.25"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ht="14.25"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ht="14.25"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ht="14.25"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ht="14.25"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ht="14.25"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ht="14.25"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ht="14.25"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ht="14.25"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ht="14.25"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ht="14.25"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ht="14.25"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ht="14.25"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ht="14.25"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ht="14.25"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ht="14.25"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ht="14.25"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ht="14.25"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ht="14.25"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ht="14.25"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ht="14.25"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ht="14.25"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ht="14.25"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ht="14.25"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ht="14.25"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ht="14.25"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ht="14.25"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ht="14.25"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ht="14.25"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ht="14.25"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ht="14.25"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ht="14.25"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ht="14.25"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ht="14.25"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ht="14.25"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ht="14.25"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ht="14.25"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ht="14.25"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ht="14.25"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ht="14.25"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ht="14.25"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ht="14.25"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ht="14.25"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ht="14.25"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ht="14.25"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ht="14.25"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ht="14.25"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ht="14.25"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ht="14.25"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ht="14.25"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ht="14.25"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ht="14.25"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ht="14.25"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ht="14.25"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ht="14.25"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ht="14.25"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ht="14.25"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ht="14.25"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ht="14.25"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ht="14.25"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ht="14.25"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ht="14.25"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ht="14.25"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ht="14.25"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ht="14.25"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ht="14.25"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ht="14.25"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ht="14.25"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ht="14.25"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ht="14.25"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ht="14.25"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ht="14.25"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ht="14.25"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ht="14.25"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ht="14.25"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ht="14.25"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ht="14.25"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ht="14.25"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ht="14.25"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ht="14.25"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ht="14.25"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ht="14.25"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ht="14.25"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ht="14.25"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ht="14.25"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ht="14.25"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ht="14.25"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ht="14.25"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ht="14.25"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ht="14.25"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ht="14.25"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ht="14.25"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ht="14.25"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ht="14.25"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ht="14.25"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ht="14.25"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ht="14.25"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ht="14.25"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ht="14.25"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ht="14.25"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ht="14.25"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ht="14.25"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ht="14.25"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ht="14.25"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ht="14.25"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ht="14.25"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ht="14.25"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ht="14.25"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ht="14.25"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ht="14.25"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ht="14.25"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ht="14.25"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ht="14.25"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ht="14.25"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ht="14.25"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ht="14.25"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ht="14.25"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ht="14.25"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ht="14.25"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ht="14.25"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ht="14.25"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ht="14.25"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ht="14.25"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ht="14.25"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ht="14.25"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ht="14.25"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ht="14.25"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ht="14.25"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ht="14.25"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ht="14.25"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ht="14.25"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ht="14.25"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ht="14.25"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ht="14.25"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ht="14.25"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ht="14.25"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ht="14.25"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ht="14.25"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ht="14.25"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ht="14.25"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ht="14.25"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ht="14.25"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ht="14.25"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ht="14.25"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ht="14.25"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ht="14.25"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ht="14.25"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ht="14.25"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ht="14.25"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ht="14.25"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ht="14.25"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ht="14.25"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ht="14.25"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ht="14.25"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ht="14.25"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ht="14.25"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ht="14.25"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ht="14.25"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ht="14.25"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ht="14.25"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ht="14.25"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ht="14.25"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ht="14.25"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ht="14.25"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ht="14.25"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ht="14.25"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ht="14.25"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ht="14.25"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ht="14.25"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ht="14.25"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ht="14.25"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ht="14.25"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ht="14.25"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ht="14.25"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ht="14.25"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ht="14.25"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ht="14.25"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ht="14.25"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ht="14.25"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ht="14.25"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ht="14.25"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ht="14.25"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ht="14.25"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ht="14.25"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ht="14.25"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ht="14.25"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ht="14.25"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ht="14.25"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ht="14.25"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ht="14.25"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ht="14.25"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ht="14.25"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ht="14.25"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ht="14.25"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ht="14.25"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ht="14.25"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ht="14.25"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ht="14.25"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ht="14.25"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ht="14.25"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ht="14.25"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ht="14.25"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ht="14.25"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ht="14.25"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ht="14.25"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ht="14.25"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ht="14.25"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ht="14.25"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ht="14.25"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ht="14.25"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ht="14.25"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ht="14.25"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ht="14.25"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ht="14.25"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ht="14.25"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ht="14.25"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ht="14.25"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ht="14.25"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ht="14.25"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ht="14.25"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ht="14.25"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ht="14.25"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ht="14.25"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ht="14.25"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ht="14.25"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ht="14.25"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ht="14.25"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ht="14.25"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ht="14.25"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ht="14.25"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ht="14.25"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ht="14.25"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ht="14.25"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ht="14.25"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ht="14.25"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ht="14.25"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ht="14.25"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ht="14.25"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ht="14.25"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ht="14.25"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ht="14.25"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ht="14.25"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ht="14.25"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ht="14.25"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ht="14.25"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ht="14.25"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ht="14.25"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ht="14.25"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ht="14.25"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ht="14.25"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ht="14.25"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ht="14.25"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ht="14.25"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ht="14.25"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ht="14.25"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ht="14.25"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ht="14.25"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ht="14.25"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ht="14.25"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ht="14.25"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ht="14.25"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ht="14.25"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ht="14.25"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ht="14.25"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ht="14.25"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ht="14.25"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ht="14.25"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ht="14.25"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ht="14.25"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ht="14.25"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ht="14.25"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ht="14.25"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ht="14.25"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ht="14.25"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ht="14.25"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ht="14.25"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ht="14.25"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ht="14.25"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ht="14.25"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ht="14.25"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ht="14.25"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ht="14.25"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ht="14.25"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ht="14.25"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ht="14.25"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ht="14.25"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ht="14.25"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ht="14.25"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ht="14.25"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ht="14.25"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ht="14.25"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ht="14.25"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ht="14.25"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ht="14.25"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ht="14.25"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ht="14.25"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ht="14.25"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ht="14.25"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ht="14.25"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ht="14.25"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ht="14.25"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ht="14.25"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ht="14.25"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ht="14.25"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ht="14.25"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ht="14.25"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ht="14.25"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ht="14.25"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ht="14.25"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ht="14.25"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ht="14.25"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ht="14.25"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ht="14.25"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ht="14.25"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ht="14.25"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ht="14.25"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ht="14.25"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ht="14.25"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ht="14.25"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ht="14.25"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ht="14.25"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ht="14.25"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ht="14.25"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ht="14.25"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ht="14.25"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ht="14.25"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ht="14.25"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ht="14.25"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ht="14.25"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ht="14.25"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ht="14.25"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ht="14.25"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ht="14.25"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ht="14.25"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ht="14.25"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ht="14.25"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ht="14.25"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ht="14.25"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ht="14.25"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ht="14.2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ht="14.25"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ht="14.25"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ht="14.25"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ht="14.25"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ht="14.25"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ht="14.25"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ht="14.25"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ht="14.25"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ht="14.25"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ht="14.25"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ht="14.25"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ht="14.25"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ht="14.25"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ht="14.25"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ht="14.25"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ht="14.25"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ht="14.25"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ht="14.25"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ht="14.25"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ht="14.25"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ht="14.25"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ht="14.25"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ht="14.25"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ht="14.25"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ht="14.25"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ht="14.25"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ht="14.25"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ht="14.25"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ht="14.25"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ht="14.25"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ht="14.25"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ht="14.25"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ht="14.25"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ht="14.25"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ht="14.25"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ht="14.25"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ht="14.25"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ht="14.25"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ht="14.25"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ht="14.25"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ht="14.25"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ht="14.25"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ht="14.25"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ht="14.25"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ht="14.25"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ht="14.25"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ht="14.25"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ht="14.25"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ht="14.25"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ht="14.25"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ht="14.25"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ht="14.25"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ht="14.25"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ht="14.25"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ht="14.25"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ht="14.25"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ht="14.25"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ht="14.25"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ht="14.25"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ht="14.25"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ht="14.25"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ht="14.25"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ht="14.25"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ht="14.25"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ht="14.25"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ht="14.25"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ht="14.25"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ht="14.25"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sheetData>
  <dataValidations>
    <dataValidation type="list" allowBlank="1" showErrorMessage="1" sqref="N2:N421">
      <formula1>"UPI,Cash,Credit Card,Net Banking,Debit Card"</formula1>
    </dataValidation>
    <dataValidation type="list" allowBlank="1" showErrorMessage="1" sqref="C2:C421">
      <formula1>"Chandigarh,Gurugram,Bengaluru,Chennai,Kolkata,Pune,Hyderabad,Mumbai,Lucknow,Surat,Kochi,Guwahati,Patna,Bhubaneswar,Delhi,Ahmedabad"</formula1>
    </dataValidation>
    <dataValidation type="list" allowBlank="1" showErrorMessage="1" sqref="M2:M421">
      <formula1>"Deepak Yadav,Kavita Nair,Priya Verma,Sanjay Rao,Ananya Iyer,Neha Gupta,Vikram Malhotra,Amit Singh,Pooja Reddy,Rohit Sharma"</formula1>
    </dataValidation>
    <dataValidation type="list" allowBlank="1" showErrorMessage="1" sqref="O2:O421">
      <formula1>"Online,Retail,Wholesale"</formula1>
    </dataValidation>
    <dataValidation type="list" allowBlank="1" showErrorMessage="1" sqref="D2:D421">
      <formula1>"North,South,East,West"</formula1>
    </dataValidation>
    <dataValidation type="list" allowBlank="1" showErrorMessage="1" sqref="E2:E421">
      <formula1>"Groceries,Apparel,Home &amp; Kitchen,Personal Care,Electronics"</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00.0"/>
    <col customWidth="1" min="3" max="26" width="8.71"/>
  </cols>
  <sheetData>
    <row r="1" ht="14.25" customHeight="1">
      <c r="A1" s="52"/>
    </row>
    <row r="2" ht="14.25" customHeight="1">
      <c r="A2" s="52"/>
      <c r="B2" s="53" t="s">
        <v>120</v>
      </c>
    </row>
    <row r="3" ht="14.25" customHeight="1">
      <c r="A3" s="52"/>
      <c r="B3" s="54" t="s">
        <v>121</v>
      </c>
    </row>
    <row r="4" ht="14.25" customHeight="1">
      <c r="A4" s="52"/>
    </row>
    <row r="5" ht="19.5" customHeight="1">
      <c r="A5" s="52"/>
      <c r="B5" s="55" t="s">
        <v>122</v>
      </c>
    </row>
    <row r="6" ht="45.0" customHeight="1">
      <c r="A6" s="52"/>
      <c r="B6" s="56" t="s">
        <v>123</v>
      </c>
    </row>
    <row r="7" ht="14.25" customHeight="1">
      <c r="A7" s="52"/>
    </row>
    <row r="8" ht="14.25" customHeight="1">
      <c r="A8" s="52"/>
      <c r="B8" s="53" t="s">
        <v>124</v>
      </c>
    </row>
    <row r="9" ht="14.25" customHeight="1">
      <c r="A9" s="52"/>
      <c r="B9" s="54" t="s">
        <v>125</v>
      </c>
    </row>
    <row r="10" ht="14.25" customHeight="1">
      <c r="A10" s="52"/>
    </row>
    <row r="11" ht="19.5" customHeight="1">
      <c r="A11" s="52"/>
      <c r="B11" s="55" t="s">
        <v>122</v>
      </c>
    </row>
    <row r="12" ht="60.0" customHeight="1">
      <c r="A12" s="52"/>
      <c r="B12" s="56" t="s">
        <v>126</v>
      </c>
    </row>
    <row r="13" ht="14.25" customHeight="1">
      <c r="B13" s="53" t="s">
        <v>127</v>
      </c>
    </row>
    <row r="14" ht="14.25" customHeight="1">
      <c r="B14" s="54" t="s">
        <v>128</v>
      </c>
    </row>
    <row r="15" ht="14.25" customHeight="1"/>
    <row r="16" ht="19.5" customHeight="1">
      <c r="B16" s="55" t="s">
        <v>122</v>
      </c>
    </row>
    <row r="17" ht="45.0" customHeight="1">
      <c r="B17" s="56" t="s">
        <v>129</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gridLines="1"/>
  <pageMargins bottom="1.0" footer="0.0" header="0.0" left="0.0" right="0.0" top="0.4553647661512191"/>
  <pageSetup cellComments="atEnd"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7" t="s">
        <v>130</v>
      </c>
    </row>
    <row r="2">
      <c r="A2" s="58"/>
    </row>
    <row r="3">
      <c r="A3" s="57" t="s">
        <v>131</v>
      </c>
    </row>
    <row r="4">
      <c r="A4" s="58"/>
    </row>
    <row r="5">
      <c r="A5" s="57" t="s">
        <v>132</v>
      </c>
    </row>
    <row r="6">
      <c r="A6" s="58"/>
    </row>
    <row r="7">
      <c r="A7" s="57" t="s">
        <v>133</v>
      </c>
    </row>
    <row r="8">
      <c r="A8" s="58"/>
    </row>
    <row r="9">
      <c r="A9" s="57" t="s">
        <v>134</v>
      </c>
    </row>
    <row r="10">
      <c r="A10" s="58"/>
    </row>
    <row r="11">
      <c r="A11" s="57" t="s">
        <v>135</v>
      </c>
    </row>
    <row r="12">
      <c r="A12" s="58"/>
    </row>
    <row r="13">
      <c r="A13" s="57" t="s">
        <v>136</v>
      </c>
    </row>
    <row r="14">
      <c r="A14" s="58"/>
    </row>
    <row r="15">
      <c r="A15" s="57" t="s">
        <v>137</v>
      </c>
    </row>
    <row r="16">
      <c r="A16" s="58"/>
    </row>
    <row r="17">
      <c r="A17" s="57" t="s">
        <v>138</v>
      </c>
    </row>
    <row r="18">
      <c r="A18" s="58"/>
    </row>
    <row r="19">
      <c r="A19" s="57" t="s">
        <v>139</v>
      </c>
    </row>
    <row r="20">
      <c r="A20" s="58"/>
    </row>
    <row r="21">
      <c r="A21" s="57" t="s">
        <v>140</v>
      </c>
    </row>
    <row r="22">
      <c r="A22" s="58"/>
    </row>
    <row r="23">
      <c r="A23" s="57" t="s">
        <v>141</v>
      </c>
    </row>
    <row r="24">
      <c r="A24" s="58"/>
    </row>
    <row r="25">
      <c r="A25" s="57" t="s">
        <v>142</v>
      </c>
    </row>
    <row r="26">
      <c r="A26" s="58"/>
    </row>
    <row r="27">
      <c r="A27" s="57" t="s">
        <v>143</v>
      </c>
    </row>
    <row r="28">
      <c r="A28" s="58"/>
    </row>
    <row r="29">
      <c r="A29" s="57" t="s">
        <v>144</v>
      </c>
    </row>
    <row r="30">
      <c r="A30" s="58"/>
    </row>
    <row r="31">
      <c r="A31" s="57" t="s">
        <v>145</v>
      </c>
    </row>
    <row r="32">
      <c r="A32" s="58"/>
    </row>
    <row r="33">
      <c r="A33" s="57" t="s">
        <v>146</v>
      </c>
    </row>
    <row r="34">
      <c r="A34" s="58"/>
    </row>
    <row r="35">
      <c r="A35" s="57" t="s">
        <v>147</v>
      </c>
    </row>
    <row r="36">
      <c r="A36" s="58"/>
    </row>
    <row r="37">
      <c r="A37" s="57" t="s">
        <v>148</v>
      </c>
    </row>
    <row r="38">
      <c r="A38" s="58"/>
    </row>
    <row r="39">
      <c r="A39" s="57" t="s">
        <v>149</v>
      </c>
    </row>
    <row r="40">
      <c r="A40" s="58"/>
    </row>
    <row r="41">
      <c r="A41" s="57" t="s">
        <v>150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9" t="s">
        <v>151</v>
      </c>
      <c r="B1" s="59" t="s">
        <v>152</v>
      </c>
      <c r="D1" s="19" t="s">
        <v>152</v>
      </c>
      <c r="E1" s="19" t="s">
        <v>153</v>
      </c>
      <c r="I1" s="60" t="s">
        <v>154</v>
      </c>
      <c r="J1" s="60" t="s">
        <v>155</v>
      </c>
      <c r="K1" s="60" t="s">
        <v>156</v>
      </c>
    </row>
    <row r="2">
      <c r="A2" s="61" t="s">
        <v>157</v>
      </c>
      <c r="B2" s="61" t="s">
        <v>158</v>
      </c>
      <c r="D2" s="15" t="str">
        <f>IFERROR(__xludf.DUMMYFUNCTION("FILTER(A1:B101,B1:B101=""IT"")"),"Varun Gupta")</f>
        <v>Varun Gupta</v>
      </c>
      <c r="E2" s="15" t="str">
        <f>IFERROR(__xludf.DUMMYFUNCTION("""COMPUTED_VALUE"""),"IT")</f>
        <v>IT</v>
      </c>
      <c r="I2" s="60">
        <v>101.0</v>
      </c>
      <c r="J2" s="60" t="s">
        <v>159</v>
      </c>
      <c r="K2" s="62">
        <v>15400.0</v>
      </c>
    </row>
    <row r="3">
      <c r="A3" s="61" t="s">
        <v>160</v>
      </c>
      <c r="B3" s="61" t="s">
        <v>158</v>
      </c>
      <c r="D3" s="15" t="str">
        <f>IFERROR(__xludf.DUMMYFUNCTION("""COMPUTED_VALUE"""),"Priya Singh")</f>
        <v>Priya Singh</v>
      </c>
      <c r="E3" s="15" t="str">
        <f>IFERROR(__xludf.DUMMYFUNCTION("""COMPUTED_VALUE"""),"IT")</f>
        <v>IT</v>
      </c>
      <c r="I3" s="60">
        <v>102.0</v>
      </c>
      <c r="J3" s="60" t="s">
        <v>161</v>
      </c>
      <c r="K3" s="62">
        <v>22100.0</v>
      </c>
    </row>
    <row r="4">
      <c r="A4" s="61" t="s">
        <v>162</v>
      </c>
      <c r="B4" s="61" t="s">
        <v>163</v>
      </c>
      <c r="D4" s="15" t="str">
        <f>IFERROR(__xludf.DUMMYFUNCTION("""COMPUTED_VALUE"""),"Kavita Patel")</f>
        <v>Kavita Patel</v>
      </c>
      <c r="E4" s="15" t="str">
        <f>IFERROR(__xludf.DUMMYFUNCTION("""COMPUTED_VALUE"""),"IT")</f>
        <v>IT</v>
      </c>
      <c r="I4" s="60">
        <v>103.0</v>
      </c>
      <c r="J4" s="60" t="s">
        <v>164</v>
      </c>
      <c r="K4" s="62">
        <v>18900.0</v>
      </c>
    </row>
    <row r="5">
      <c r="A5" s="61" t="s">
        <v>165</v>
      </c>
      <c r="B5" s="61" t="s">
        <v>163</v>
      </c>
      <c r="D5" s="15" t="str">
        <f>IFERROR(__xludf.DUMMYFUNCTION("""COMPUTED_VALUE"""),"Karan Kumar")</f>
        <v>Karan Kumar</v>
      </c>
      <c r="E5" s="15" t="str">
        <f>IFERROR(__xludf.DUMMYFUNCTION("""COMPUTED_VALUE"""),"IT")</f>
        <v>IT</v>
      </c>
      <c r="G5" s="15">
        <f t="array" ref="G5:G6">SEQUENCE(2,1,1,1)</f>
        <v>1</v>
      </c>
    </row>
    <row r="6">
      <c r="A6" s="61" t="s">
        <v>166</v>
      </c>
      <c r="B6" s="61" t="s">
        <v>167</v>
      </c>
      <c r="D6" s="15" t="str">
        <f>IFERROR(__xludf.DUMMYFUNCTION("""COMPUTED_VALUE"""),"Karan Jain")</f>
        <v>Karan Jain</v>
      </c>
      <c r="E6" s="15" t="str">
        <f>IFERROR(__xludf.DUMMYFUNCTION("""COMPUTED_VALUE"""),"IT")</f>
        <v>IT</v>
      </c>
      <c r="G6" s="15">
        <v>2.0</v>
      </c>
    </row>
    <row r="7">
      <c r="A7" s="61" t="s">
        <v>168</v>
      </c>
      <c r="B7" s="61" t="s">
        <v>158</v>
      </c>
      <c r="D7" s="15" t="str">
        <f>IFERROR(__xludf.DUMMYFUNCTION("""COMPUTED_VALUE"""),"Neha Singh")</f>
        <v>Neha Singh</v>
      </c>
      <c r="E7" s="15" t="str">
        <f>IFERROR(__xludf.DUMMYFUNCTION("""COMPUTED_VALUE"""),"IT")</f>
        <v>IT</v>
      </c>
      <c r="I7" s="60" t="s">
        <v>154</v>
      </c>
      <c r="J7" s="60" t="s">
        <v>155</v>
      </c>
      <c r="K7" s="60" t="s">
        <v>169</v>
      </c>
    </row>
    <row r="8">
      <c r="A8" s="61" t="s">
        <v>170</v>
      </c>
      <c r="B8" s="61" t="s">
        <v>171</v>
      </c>
      <c r="D8" s="15" t="str">
        <f>IFERROR(__xludf.DUMMYFUNCTION("""COMPUTED_VALUE"""),"Meera Patel")</f>
        <v>Meera Patel</v>
      </c>
      <c r="E8" s="15" t="str">
        <f>IFERROR(__xludf.DUMMYFUNCTION("""COMPUTED_VALUE"""),"IT")</f>
        <v>IT</v>
      </c>
      <c r="I8" s="60">
        <v>104.0</v>
      </c>
      <c r="J8" s="60" t="s">
        <v>172</v>
      </c>
      <c r="K8" s="62">
        <v>19300.0</v>
      </c>
    </row>
    <row r="9">
      <c r="A9" s="61" t="s">
        <v>173</v>
      </c>
      <c r="B9" s="61" t="s">
        <v>167</v>
      </c>
      <c r="D9" s="15" t="str">
        <f>IFERROR(__xludf.DUMMYFUNCTION("""COMPUTED_VALUE"""),"Simran Patel")</f>
        <v>Simran Patel</v>
      </c>
      <c r="E9" s="15" t="str">
        <f>IFERROR(__xludf.DUMMYFUNCTION("""COMPUTED_VALUE"""),"IT")</f>
        <v>IT</v>
      </c>
      <c r="I9" s="60">
        <v>105.0</v>
      </c>
      <c r="J9" s="60" t="s">
        <v>174</v>
      </c>
      <c r="K9" s="62">
        <v>24500.0</v>
      </c>
    </row>
    <row r="10">
      <c r="A10" s="61" t="s">
        <v>175</v>
      </c>
      <c r="B10" s="61" t="s">
        <v>158</v>
      </c>
      <c r="D10" s="15" t="str">
        <f>IFERROR(__xludf.DUMMYFUNCTION("""COMPUTED_VALUE"""),"Simran Sharma")</f>
        <v>Simran Sharma</v>
      </c>
      <c r="E10" s="15" t="str">
        <f>IFERROR(__xludf.DUMMYFUNCTION("""COMPUTED_VALUE"""),"IT")</f>
        <v>IT</v>
      </c>
      <c r="I10" s="60">
        <v>106.0</v>
      </c>
      <c r="J10" s="60" t="s">
        <v>176</v>
      </c>
      <c r="K10" s="62">
        <v>21000.0</v>
      </c>
    </row>
    <row r="11">
      <c r="A11" s="61" t="s">
        <v>177</v>
      </c>
      <c r="B11" s="61" t="s">
        <v>178</v>
      </c>
      <c r="D11" s="15" t="str">
        <f>IFERROR(__xludf.DUMMYFUNCTION("""COMPUTED_VALUE"""),"Rahul Sharma")</f>
        <v>Rahul Sharma</v>
      </c>
      <c r="E11" s="15" t="str">
        <f>IFERROR(__xludf.DUMMYFUNCTION("""COMPUTED_VALUE"""),"IT")</f>
        <v>IT</v>
      </c>
    </row>
    <row r="12">
      <c r="A12" s="61" t="s">
        <v>179</v>
      </c>
      <c r="B12" s="61" t="s">
        <v>158</v>
      </c>
      <c r="D12" s="15" t="str">
        <f>IFERROR(__xludf.DUMMYFUNCTION("""COMPUTED_VALUE"""),"Rahul Kumar")</f>
        <v>Rahul Kumar</v>
      </c>
      <c r="E12" s="15" t="str">
        <f>IFERROR(__xludf.DUMMYFUNCTION("""COMPUTED_VALUE"""),"IT")</f>
        <v>IT</v>
      </c>
    </row>
    <row r="13">
      <c r="A13" s="61" t="s">
        <v>180</v>
      </c>
      <c r="B13" s="61" t="s">
        <v>171</v>
      </c>
      <c r="D13" s="15" t="str">
        <f>IFERROR(__xludf.DUMMYFUNCTION("""COMPUTED_VALUE"""),"Varun Patel")</f>
        <v>Varun Patel</v>
      </c>
      <c r="E13" s="15" t="str">
        <f>IFERROR(__xludf.DUMMYFUNCTION("""COMPUTED_VALUE"""),"IT")</f>
        <v>IT</v>
      </c>
    </row>
    <row r="14">
      <c r="A14" s="61" t="s">
        <v>181</v>
      </c>
      <c r="B14" s="61" t="s">
        <v>178</v>
      </c>
      <c r="D14" s="15" t="str">
        <f>IFERROR(__xludf.DUMMYFUNCTION("""COMPUTED_VALUE"""),"Kavita Patel")</f>
        <v>Kavita Patel</v>
      </c>
      <c r="E14" s="15" t="str">
        <f>IFERROR(__xludf.DUMMYFUNCTION("""COMPUTED_VALUE"""),"IT")</f>
        <v>IT</v>
      </c>
      <c r="I14" s="15">
        <f t="array" ref="I14:K19">VSTACK(I2:K4,I8:K10)</f>
        <v>101</v>
      </c>
      <c r="J14" s="15" t="s">
        <v>159</v>
      </c>
      <c r="K14" s="51">
        <v>15400.0</v>
      </c>
    </row>
    <row r="15">
      <c r="A15" s="61" t="s">
        <v>182</v>
      </c>
      <c r="B15" s="61" t="s">
        <v>183</v>
      </c>
      <c r="D15" s="15" t="str">
        <f>IFERROR(__xludf.DUMMYFUNCTION("""COMPUTED_VALUE"""),"Arjun Kumar")</f>
        <v>Arjun Kumar</v>
      </c>
      <c r="E15" s="15" t="str">
        <f>IFERROR(__xludf.DUMMYFUNCTION("""COMPUTED_VALUE"""),"IT")</f>
        <v>IT</v>
      </c>
      <c r="I15" s="15">
        <v>102.0</v>
      </c>
      <c r="J15" s="15" t="s">
        <v>161</v>
      </c>
      <c r="K15" s="51">
        <v>22100.0</v>
      </c>
    </row>
    <row r="16">
      <c r="A16" s="61" t="s">
        <v>184</v>
      </c>
      <c r="B16" s="61" t="s">
        <v>183</v>
      </c>
      <c r="D16" s="15" t="str">
        <f>IFERROR(__xludf.DUMMYFUNCTION("""COMPUTED_VALUE"""),"Pooja Gupta")</f>
        <v>Pooja Gupta</v>
      </c>
      <c r="E16" s="15" t="str">
        <f>IFERROR(__xludf.DUMMYFUNCTION("""COMPUTED_VALUE"""),"IT")</f>
        <v>IT</v>
      </c>
      <c r="I16" s="15">
        <v>103.0</v>
      </c>
      <c r="J16" s="15" t="s">
        <v>164</v>
      </c>
      <c r="K16" s="51">
        <v>18900.0</v>
      </c>
    </row>
    <row r="17">
      <c r="A17" s="61" t="s">
        <v>185</v>
      </c>
      <c r="B17" s="61" t="s">
        <v>167</v>
      </c>
      <c r="D17" s="15" t="str">
        <f>IFERROR(__xludf.DUMMYFUNCTION("""COMPUTED_VALUE"""),"Aditya Gupta")</f>
        <v>Aditya Gupta</v>
      </c>
      <c r="E17" s="15" t="str">
        <f>IFERROR(__xludf.DUMMYFUNCTION("""COMPUTED_VALUE"""),"IT")</f>
        <v>IT</v>
      </c>
      <c r="I17" s="15">
        <v>104.0</v>
      </c>
      <c r="J17" s="15" t="s">
        <v>172</v>
      </c>
      <c r="K17" s="51">
        <v>19300.0</v>
      </c>
    </row>
    <row r="18">
      <c r="A18" s="61" t="s">
        <v>186</v>
      </c>
      <c r="B18" s="61" t="s">
        <v>178</v>
      </c>
      <c r="D18" s="15" t="str">
        <f>IFERROR(__xludf.DUMMYFUNCTION("""COMPUTED_VALUE"""),"Vikas Verma")</f>
        <v>Vikas Verma</v>
      </c>
      <c r="E18" s="15" t="str">
        <f>IFERROR(__xludf.DUMMYFUNCTION("""COMPUTED_VALUE"""),"IT")</f>
        <v>IT</v>
      </c>
      <c r="I18" s="15">
        <v>105.0</v>
      </c>
      <c r="J18" s="15" t="s">
        <v>174</v>
      </c>
      <c r="K18" s="51">
        <v>24500.0</v>
      </c>
    </row>
    <row r="19">
      <c r="A19" s="61" t="s">
        <v>187</v>
      </c>
      <c r="B19" s="61" t="s">
        <v>178</v>
      </c>
      <c r="D19" s="15" t="str">
        <f>IFERROR(__xludf.DUMMYFUNCTION("""COMPUTED_VALUE"""),"Amit Verma")</f>
        <v>Amit Verma</v>
      </c>
      <c r="E19" s="15" t="str">
        <f>IFERROR(__xludf.DUMMYFUNCTION("""COMPUTED_VALUE"""),"IT")</f>
        <v>IT</v>
      </c>
      <c r="I19" s="15">
        <v>106.0</v>
      </c>
      <c r="J19" s="15" t="s">
        <v>176</v>
      </c>
      <c r="K19" s="51">
        <v>21000.0</v>
      </c>
    </row>
    <row r="20">
      <c r="A20" s="61" t="s">
        <v>188</v>
      </c>
      <c r="B20" s="61" t="s">
        <v>167</v>
      </c>
      <c r="D20" s="15" t="str">
        <f>IFERROR(__xludf.DUMMYFUNCTION("""COMPUTED_VALUE"""),"Varun Gupta")</f>
        <v>Varun Gupta</v>
      </c>
      <c r="E20" s="15" t="str">
        <f>IFERROR(__xludf.DUMMYFUNCTION("""COMPUTED_VALUE"""),"IT")</f>
        <v>IT</v>
      </c>
    </row>
    <row r="21">
      <c r="A21" s="61" t="s">
        <v>189</v>
      </c>
      <c r="B21" s="61" t="s">
        <v>171</v>
      </c>
      <c r="D21" s="15" t="str">
        <f>IFERROR(__xludf.DUMMYFUNCTION("""COMPUTED_VALUE"""),"Amit Sharma")</f>
        <v>Amit Sharma</v>
      </c>
      <c r="E21" s="15" t="str">
        <f>IFERROR(__xludf.DUMMYFUNCTION("""COMPUTED_VALUE"""),"IT")</f>
        <v>IT</v>
      </c>
    </row>
    <row r="22">
      <c r="A22" s="61" t="s">
        <v>190</v>
      </c>
      <c r="B22" s="61" t="s">
        <v>171</v>
      </c>
    </row>
    <row r="23">
      <c r="A23" s="61" t="s">
        <v>191</v>
      </c>
      <c r="B23" s="61" t="s">
        <v>178</v>
      </c>
    </row>
    <row r="24">
      <c r="A24" s="61" t="s">
        <v>192</v>
      </c>
      <c r="B24" s="61" t="s">
        <v>158</v>
      </c>
    </row>
    <row r="25">
      <c r="A25" s="61" t="s">
        <v>193</v>
      </c>
      <c r="B25" s="61" t="s">
        <v>183</v>
      </c>
    </row>
    <row r="26">
      <c r="A26" s="61" t="s">
        <v>194</v>
      </c>
      <c r="B26" s="61" t="s">
        <v>167</v>
      </c>
    </row>
    <row r="27">
      <c r="A27" s="61" t="s">
        <v>195</v>
      </c>
      <c r="B27" s="61" t="s">
        <v>167</v>
      </c>
    </row>
    <row r="28">
      <c r="A28" s="61" t="s">
        <v>196</v>
      </c>
      <c r="B28" s="61" t="s">
        <v>171</v>
      </c>
    </row>
    <row r="29">
      <c r="A29" s="61" t="s">
        <v>197</v>
      </c>
      <c r="B29" s="61" t="s">
        <v>183</v>
      </c>
    </row>
    <row r="30">
      <c r="A30" s="61" t="s">
        <v>198</v>
      </c>
      <c r="B30" s="61" t="s">
        <v>171</v>
      </c>
    </row>
    <row r="31">
      <c r="A31" s="61" t="s">
        <v>199</v>
      </c>
      <c r="B31" s="61" t="s">
        <v>158</v>
      </c>
    </row>
    <row r="32">
      <c r="A32" s="61" t="s">
        <v>200</v>
      </c>
      <c r="B32" s="61" t="s">
        <v>163</v>
      </c>
    </row>
    <row r="33">
      <c r="A33" s="61" t="s">
        <v>201</v>
      </c>
      <c r="B33" s="61" t="s">
        <v>178</v>
      </c>
    </row>
    <row r="34">
      <c r="A34" s="61" t="s">
        <v>202</v>
      </c>
      <c r="B34" s="61" t="s">
        <v>167</v>
      </c>
    </row>
    <row r="35">
      <c r="A35" s="61" t="s">
        <v>203</v>
      </c>
      <c r="B35" s="61" t="s">
        <v>158</v>
      </c>
    </row>
    <row r="36">
      <c r="A36" s="61" t="s">
        <v>204</v>
      </c>
      <c r="B36" s="61" t="s">
        <v>163</v>
      </c>
    </row>
    <row r="37">
      <c r="A37" s="61" t="s">
        <v>205</v>
      </c>
      <c r="B37" s="61" t="s">
        <v>171</v>
      </c>
    </row>
    <row r="38">
      <c r="A38" s="61" t="s">
        <v>206</v>
      </c>
      <c r="B38" s="61" t="s">
        <v>178</v>
      </c>
    </row>
    <row r="39">
      <c r="A39" s="61" t="s">
        <v>207</v>
      </c>
      <c r="B39" s="61" t="s">
        <v>167</v>
      </c>
    </row>
    <row r="40">
      <c r="A40" s="61" t="s">
        <v>208</v>
      </c>
      <c r="B40" s="61" t="s">
        <v>183</v>
      </c>
    </row>
    <row r="41">
      <c r="A41" s="61" t="s">
        <v>209</v>
      </c>
      <c r="B41" s="61" t="s">
        <v>167</v>
      </c>
    </row>
    <row r="42">
      <c r="A42" s="61" t="s">
        <v>210</v>
      </c>
      <c r="B42" s="61" t="s">
        <v>167</v>
      </c>
    </row>
    <row r="43">
      <c r="A43" s="61" t="s">
        <v>211</v>
      </c>
      <c r="B43" s="61" t="s">
        <v>183</v>
      </c>
    </row>
    <row r="44">
      <c r="A44" s="61" t="s">
        <v>212</v>
      </c>
      <c r="B44" s="61" t="s">
        <v>163</v>
      </c>
    </row>
    <row r="45">
      <c r="A45" s="61" t="s">
        <v>213</v>
      </c>
      <c r="B45" s="61" t="s">
        <v>163</v>
      </c>
    </row>
    <row r="46">
      <c r="A46" s="61" t="s">
        <v>214</v>
      </c>
      <c r="B46" s="61" t="s">
        <v>183</v>
      </c>
    </row>
    <row r="47">
      <c r="A47" s="61" t="s">
        <v>215</v>
      </c>
      <c r="B47" s="61" t="s">
        <v>167</v>
      </c>
    </row>
    <row r="48">
      <c r="A48" s="61" t="s">
        <v>216</v>
      </c>
      <c r="B48" s="61" t="s">
        <v>178</v>
      </c>
    </row>
    <row r="49">
      <c r="A49" s="61" t="s">
        <v>217</v>
      </c>
      <c r="B49" s="61" t="s">
        <v>163</v>
      </c>
    </row>
    <row r="50">
      <c r="A50" s="61" t="s">
        <v>190</v>
      </c>
      <c r="B50" s="61" t="s">
        <v>171</v>
      </c>
    </row>
    <row r="51">
      <c r="A51" s="61" t="s">
        <v>218</v>
      </c>
      <c r="B51" s="61" t="s">
        <v>167</v>
      </c>
    </row>
    <row r="52">
      <c r="A52" s="61" t="s">
        <v>188</v>
      </c>
      <c r="B52" s="61" t="s">
        <v>167</v>
      </c>
    </row>
    <row r="53">
      <c r="A53" s="61" t="s">
        <v>184</v>
      </c>
      <c r="B53" s="61" t="s">
        <v>163</v>
      </c>
    </row>
    <row r="54">
      <c r="A54" s="61" t="s">
        <v>165</v>
      </c>
      <c r="B54" s="61" t="s">
        <v>167</v>
      </c>
    </row>
    <row r="55">
      <c r="A55" s="61" t="s">
        <v>206</v>
      </c>
      <c r="B55" s="61" t="s">
        <v>167</v>
      </c>
    </row>
    <row r="56">
      <c r="A56" s="61" t="s">
        <v>219</v>
      </c>
      <c r="B56" s="61" t="s">
        <v>167</v>
      </c>
    </row>
    <row r="57">
      <c r="A57" s="61" t="s">
        <v>216</v>
      </c>
      <c r="B57" s="61" t="s">
        <v>158</v>
      </c>
    </row>
    <row r="58">
      <c r="A58" s="61" t="s">
        <v>220</v>
      </c>
      <c r="B58" s="61" t="s">
        <v>163</v>
      </c>
    </row>
    <row r="59">
      <c r="A59" s="61" t="s">
        <v>221</v>
      </c>
      <c r="B59" s="61" t="s">
        <v>183</v>
      </c>
    </row>
    <row r="60">
      <c r="A60" s="61" t="s">
        <v>210</v>
      </c>
      <c r="B60" s="61" t="s">
        <v>167</v>
      </c>
    </row>
    <row r="61">
      <c r="A61" s="61" t="s">
        <v>198</v>
      </c>
      <c r="B61" s="61" t="s">
        <v>163</v>
      </c>
    </row>
    <row r="62">
      <c r="A62" s="61" t="s">
        <v>222</v>
      </c>
      <c r="B62" s="61" t="s">
        <v>171</v>
      </c>
    </row>
    <row r="63">
      <c r="A63" s="61" t="s">
        <v>214</v>
      </c>
      <c r="B63" s="61" t="s">
        <v>158</v>
      </c>
    </row>
    <row r="64">
      <c r="A64" s="61" t="s">
        <v>223</v>
      </c>
      <c r="B64" s="61" t="s">
        <v>163</v>
      </c>
    </row>
    <row r="65">
      <c r="A65" s="61" t="s">
        <v>224</v>
      </c>
      <c r="B65" s="61" t="s">
        <v>183</v>
      </c>
    </row>
    <row r="66">
      <c r="A66" s="61" t="s">
        <v>206</v>
      </c>
      <c r="B66" s="61" t="s">
        <v>183</v>
      </c>
    </row>
    <row r="67">
      <c r="A67" s="61" t="s">
        <v>225</v>
      </c>
      <c r="B67" s="61" t="s">
        <v>178</v>
      </c>
    </row>
    <row r="68">
      <c r="A68" s="61" t="s">
        <v>226</v>
      </c>
      <c r="B68" s="61" t="s">
        <v>158</v>
      </c>
    </row>
    <row r="69">
      <c r="A69" s="61" t="s">
        <v>227</v>
      </c>
      <c r="B69" s="61" t="s">
        <v>163</v>
      </c>
    </row>
    <row r="70">
      <c r="A70" s="61" t="s">
        <v>228</v>
      </c>
      <c r="B70" s="61" t="s">
        <v>178</v>
      </c>
    </row>
    <row r="71">
      <c r="A71" s="61" t="s">
        <v>229</v>
      </c>
      <c r="B71" s="61" t="s">
        <v>171</v>
      </c>
    </row>
    <row r="72">
      <c r="A72" s="61" t="s">
        <v>157</v>
      </c>
      <c r="B72" s="61" t="s">
        <v>171</v>
      </c>
    </row>
    <row r="73">
      <c r="A73" s="61" t="s">
        <v>200</v>
      </c>
      <c r="B73" s="61" t="s">
        <v>163</v>
      </c>
    </row>
    <row r="74">
      <c r="A74" s="61" t="s">
        <v>230</v>
      </c>
      <c r="B74" s="61" t="s">
        <v>158</v>
      </c>
    </row>
    <row r="75">
      <c r="A75" s="61" t="s">
        <v>231</v>
      </c>
      <c r="B75" s="61" t="s">
        <v>167</v>
      </c>
    </row>
    <row r="76">
      <c r="A76" s="61" t="s">
        <v>192</v>
      </c>
      <c r="B76" s="61" t="s">
        <v>163</v>
      </c>
    </row>
    <row r="77">
      <c r="A77" s="61" t="s">
        <v>232</v>
      </c>
      <c r="B77" s="61" t="s">
        <v>167</v>
      </c>
    </row>
    <row r="78">
      <c r="A78" s="61" t="s">
        <v>233</v>
      </c>
      <c r="B78" s="61" t="s">
        <v>163</v>
      </c>
    </row>
    <row r="79">
      <c r="A79" s="61" t="s">
        <v>221</v>
      </c>
      <c r="B79" s="61" t="s">
        <v>171</v>
      </c>
    </row>
    <row r="80">
      <c r="A80" s="61" t="s">
        <v>234</v>
      </c>
      <c r="B80" s="61" t="s">
        <v>167</v>
      </c>
    </row>
    <row r="81">
      <c r="A81" s="61" t="s">
        <v>175</v>
      </c>
      <c r="B81" s="61" t="s">
        <v>163</v>
      </c>
    </row>
    <row r="82">
      <c r="A82" s="61" t="s">
        <v>235</v>
      </c>
      <c r="B82" s="61" t="s">
        <v>163</v>
      </c>
    </row>
    <row r="83">
      <c r="A83" s="61" t="s">
        <v>236</v>
      </c>
      <c r="B83" s="61" t="s">
        <v>158</v>
      </c>
    </row>
    <row r="84">
      <c r="A84" s="61" t="s">
        <v>237</v>
      </c>
      <c r="B84" s="61" t="s">
        <v>171</v>
      </c>
    </row>
    <row r="85">
      <c r="A85" s="61" t="s">
        <v>238</v>
      </c>
      <c r="B85" s="61" t="s">
        <v>158</v>
      </c>
    </row>
    <row r="86">
      <c r="A86" s="61" t="s">
        <v>188</v>
      </c>
      <c r="B86" s="61" t="s">
        <v>183</v>
      </c>
    </row>
    <row r="87">
      <c r="A87" s="61" t="s">
        <v>239</v>
      </c>
      <c r="B87" s="61" t="s">
        <v>178</v>
      </c>
    </row>
    <row r="88">
      <c r="A88" s="61" t="s">
        <v>209</v>
      </c>
      <c r="B88" s="61" t="s">
        <v>158</v>
      </c>
    </row>
    <row r="89">
      <c r="A89" s="61" t="s">
        <v>165</v>
      </c>
      <c r="B89" s="61" t="s">
        <v>158</v>
      </c>
    </row>
    <row r="90">
      <c r="A90" s="61" t="s">
        <v>240</v>
      </c>
      <c r="B90" s="61" t="s">
        <v>178</v>
      </c>
    </row>
    <row r="91">
      <c r="A91" s="61" t="s">
        <v>241</v>
      </c>
      <c r="B91" s="61" t="s">
        <v>183</v>
      </c>
    </row>
    <row r="92">
      <c r="A92" s="61" t="s">
        <v>242</v>
      </c>
      <c r="B92" s="61" t="s">
        <v>171</v>
      </c>
    </row>
    <row r="93">
      <c r="A93" s="61" t="s">
        <v>243</v>
      </c>
      <c r="B93" s="61" t="s">
        <v>183</v>
      </c>
    </row>
    <row r="94">
      <c r="A94" s="61" t="s">
        <v>244</v>
      </c>
      <c r="B94" s="61" t="s">
        <v>183</v>
      </c>
    </row>
    <row r="95">
      <c r="A95" s="61" t="s">
        <v>245</v>
      </c>
      <c r="B95" s="61" t="s">
        <v>163</v>
      </c>
    </row>
    <row r="96">
      <c r="A96" s="61" t="s">
        <v>162</v>
      </c>
      <c r="B96" s="61" t="s">
        <v>163</v>
      </c>
    </row>
    <row r="97">
      <c r="A97" s="61" t="s">
        <v>180</v>
      </c>
      <c r="B97" s="61" t="s">
        <v>163</v>
      </c>
    </row>
    <row r="98">
      <c r="A98" s="61" t="s">
        <v>246</v>
      </c>
      <c r="B98" s="61" t="s">
        <v>183</v>
      </c>
    </row>
    <row r="99">
      <c r="A99" s="61" t="s">
        <v>238</v>
      </c>
      <c r="B99" s="61" t="s">
        <v>167</v>
      </c>
    </row>
    <row r="100">
      <c r="A100" s="61" t="s">
        <v>247</v>
      </c>
      <c r="B100" s="61" t="s">
        <v>171</v>
      </c>
    </row>
    <row r="101">
      <c r="A101" s="61" t="s">
        <v>185</v>
      </c>
      <c r="B101" s="61" t="s">
        <v>171</v>
      </c>
    </row>
  </sheetData>
  <drawing r:id="rId1"/>
</worksheet>
</file>